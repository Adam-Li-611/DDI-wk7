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Structure" sheetId="1" state="visible" r:id="rId1"/>
    <sheet name="Q1 - Claim Classification" sheetId="2" state="visible" r:id="rId2"/>
    <sheet name="Cash Interest" sheetId="3" state="visible" r:id="rId3"/>
    <sheet name="Leverage Multiples" sheetId="4" state="visible" r:id="rId4"/>
    <sheet name="Corporate Structure" sheetId="5" state="visible" r:id="rId5"/>
    <sheet name="Q9 - DIP IRR" sheetId="6" state="visible" r:id="rId6"/>
    <sheet name="Q9 - 37% Discou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%"/>
    <numFmt numFmtId="166" formatCode="0.00&quot;x&quot;"/>
    <numFmt numFmtId="167" formatCode="0.0%"/>
    <numFmt numFmtId="168" formatCode="#,##0.000"/>
    <numFmt numFmtId="169" formatCode="0.00000%"/>
    <numFmt numFmtId="170" formatCode="#,##0.000;(#,##0.000)"/>
    <numFmt numFmtId="171" formatCode="0.000&quot;x&quot;"/>
  </numFmts>
  <fonts count="1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sz val="9"/>
    </font>
    <font>
      <i val="1"/>
      <color rgb="00666666"/>
      <sz val="9"/>
    </font>
    <font>
      <i val="1"/>
      <color rgb="00666666"/>
    </font>
    <font>
      <b val="1"/>
      <color rgb="000F172A"/>
      <sz val="14"/>
    </font>
    <font>
      <i val="1"/>
      <color rgb="00475569"/>
      <sz val="9"/>
    </font>
    <font>
      <b val="1"/>
      <color rgb="000F172A"/>
      <sz val="11"/>
    </font>
    <font>
      <b val="1"/>
      <color rgb="00FFFFFF"/>
      <sz val="11"/>
    </font>
    <font>
      <color rgb="000F172A"/>
      <sz val="10"/>
    </font>
    <font>
      <b val="1"/>
      <color rgb="008B0000"/>
      <sz val="14"/>
    </font>
    <font>
      <i val="1"/>
      <color rgb="00595959"/>
      <sz val="9"/>
    </font>
    <font>
      <b val="1"/>
      <color rgb="008B0000"/>
      <sz val="12"/>
    </font>
    <font>
      <b val="1"/>
      <sz val="14"/>
    </font>
    <font>
      <sz val="10"/>
    </font>
    <font>
      <b val="1"/>
      <sz val="11"/>
    </font>
    <font>
      <b val="1"/>
      <sz val="10"/>
    </font>
  </fonts>
  <fills count="2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4CCCC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FEE2E2"/>
      </patternFill>
    </fill>
    <fill>
      <patternFill patternType="solid">
        <fgColor rgb="00FFE4E6"/>
      </patternFill>
    </fill>
    <fill>
      <patternFill patternType="solid">
        <fgColor rgb="00E0F2FE"/>
      </patternFill>
    </fill>
    <fill>
      <patternFill patternType="solid">
        <fgColor rgb="008B0000"/>
        <bgColor rgb="008B0000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6" applyAlignment="1" pivotButton="0" quotePrefix="0" xfId="0">
      <alignment horizontal="left" vertical="center"/>
    </xf>
    <xf numFmtId="0" fontId="0" fillId="0" borderId="6" pivotButton="0" quotePrefix="0" xfId="0"/>
    <xf numFmtId="0" fontId="7" fillId="0" borderId="6" applyAlignment="1" pivotButton="0" quotePrefix="0" xfId="0">
      <alignment horizontal="left" vertical="center" wrapText="1"/>
    </xf>
    <xf numFmtId="0" fontId="8" fillId="5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9" fillId="6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 wrapText="1"/>
    </xf>
    <xf numFmtId="0" fontId="9" fillId="6" borderId="7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left" vertical="center" wrapText="1"/>
    </xf>
    <xf numFmtId="0" fontId="10" fillId="7" borderId="7" applyAlignment="1" pivotButton="0" quotePrefix="0" xfId="0">
      <alignment horizontal="left" vertical="center" wrapText="1"/>
    </xf>
    <xf numFmtId="0" fontId="8" fillId="8" borderId="7" applyAlignment="1" pivotButton="0" quotePrefix="0" xfId="0">
      <alignment horizontal="left" vertical="center" wrapText="1"/>
    </xf>
    <xf numFmtId="0" fontId="10" fillId="8" borderId="7" applyAlignment="1" pivotButton="0" quotePrefix="0" xfId="0">
      <alignment horizontal="left" vertical="center" wrapText="1"/>
    </xf>
    <xf numFmtId="0" fontId="8" fillId="9" borderId="7" applyAlignment="1" pivotButton="0" quotePrefix="0" xfId="0">
      <alignment horizontal="left" vertical="center" wrapText="1"/>
    </xf>
    <xf numFmtId="0" fontId="10" fillId="9" borderId="7" applyAlignment="1" pivotButton="0" quotePrefix="0" xfId="0">
      <alignment horizontal="left" vertical="center" wrapText="1"/>
    </xf>
    <xf numFmtId="0" fontId="8" fillId="10" borderId="7" applyAlignment="1" pivotButton="0" quotePrefix="0" xfId="0">
      <alignment horizontal="left" vertical="center" wrapText="1"/>
    </xf>
    <xf numFmtId="0" fontId="10" fillId="10" borderId="7" applyAlignment="1" pivotButton="0" quotePrefix="0" xfId="0">
      <alignment horizontal="left" vertical="center" wrapText="1"/>
    </xf>
    <xf numFmtId="0" fontId="8" fillId="11" borderId="7" applyAlignment="1" pivotButton="0" quotePrefix="0" xfId="0">
      <alignment horizontal="left" vertical="center" wrapText="1"/>
    </xf>
    <xf numFmtId="0" fontId="10" fillId="11" borderId="7" applyAlignment="1" pivotButton="0" quotePrefix="0" xfId="0">
      <alignment horizontal="left" vertical="center" wrapText="1"/>
    </xf>
    <xf numFmtId="0" fontId="8" fillId="12" borderId="7" applyAlignment="1" pivotButton="0" quotePrefix="0" xfId="0">
      <alignment horizontal="left" vertical="center" wrapText="1"/>
    </xf>
    <xf numFmtId="0" fontId="10" fillId="12" borderId="7" applyAlignment="1" pivotButton="0" quotePrefix="0" xfId="0">
      <alignment horizontal="left" vertical="center" wrapText="1"/>
    </xf>
    <xf numFmtId="0" fontId="8" fillId="13" borderId="7" applyAlignment="1" pivotButton="0" quotePrefix="0" xfId="0">
      <alignment horizontal="left" vertical="center" wrapText="1"/>
    </xf>
    <xf numFmtId="0" fontId="10" fillId="13" borderId="7" applyAlignment="1" pivotButton="0" quotePrefix="0" xfId="0">
      <alignment horizontal="left" vertical="center" wrapText="1"/>
    </xf>
    <xf numFmtId="0" fontId="8" fillId="14" borderId="7" applyAlignment="1" pivotButton="0" quotePrefix="0" xfId="0">
      <alignment horizontal="left" vertical="center" wrapText="1"/>
    </xf>
    <xf numFmtId="0" fontId="10" fillId="14" borderId="7" applyAlignment="1" pivotButton="0" quotePrefix="0" xfId="0">
      <alignment horizontal="left" vertical="center" wrapText="1"/>
    </xf>
    <xf numFmtId="0" fontId="8" fillId="15" borderId="7" applyAlignment="1" pivotButton="0" quotePrefix="0" xfId="0">
      <alignment horizontal="left" vertical="center" wrapText="1"/>
    </xf>
    <xf numFmtId="0" fontId="10" fillId="15" borderId="7" applyAlignment="1" pivotButton="0" quotePrefix="0" xfId="0">
      <alignment horizontal="left" vertical="center" wrapText="1"/>
    </xf>
    <xf numFmtId="0" fontId="8" fillId="16" borderId="7" applyAlignment="1" pivotButton="0" quotePrefix="0" xfId="0">
      <alignment horizontal="left" vertical="center" wrapText="1"/>
    </xf>
    <xf numFmtId="0" fontId="10" fillId="1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1" fillId="17" borderId="0" applyAlignment="1" pivotButton="0" quotePrefix="0" xfId="0">
      <alignment horizontal="center" vertical="center"/>
    </xf>
    <xf numFmtId="0" fontId="2" fillId="18" borderId="0" pivotButton="0" quotePrefix="0" xfId="0"/>
    <xf numFmtId="15" fontId="2" fillId="19" borderId="0" pivotButton="0" quotePrefix="0" xfId="0"/>
    <xf numFmtId="168" fontId="2" fillId="19" borderId="0" pivotButton="0" quotePrefix="0" xfId="0"/>
    <xf numFmtId="10" fontId="2" fillId="19" borderId="0" pivotButton="0" quotePrefix="0" xfId="0"/>
    <xf numFmtId="1" fontId="2" fillId="19" borderId="0" pivotButton="0" quotePrefix="0" xfId="0"/>
    <xf numFmtId="168" fontId="0" fillId="0" borderId="0" pivotButton="0" quotePrefix="0" xfId="0"/>
    <xf numFmtId="168" fontId="2" fillId="0" borderId="0" pivotButton="0" quotePrefix="0" xfId="0"/>
    <xf numFmtId="169" fontId="0" fillId="0" borderId="0" pivotButton="0" quotePrefix="0" xfId="0"/>
    <xf numFmtId="0" fontId="1" fillId="17" borderId="12" applyAlignment="1" pivotButton="0" quotePrefix="0" xfId="0">
      <alignment horizontal="center" vertical="center" wrapText="1"/>
    </xf>
    <xf numFmtId="0" fontId="1" fillId="17" borderId="12" applyAlignment="1" pivotButton="0" quotePrefix="0" xfId="0">
      <alignment horizontal="center" wrapText="1"/>
    </xf>
    <xf numFmtId="0" fontId="0" fillId="0" borderId="12" pivotButton="0" quotePrefix="0" xfId="0"/>
    <xf numFmtId="15" fontId="0" fillId="0" borderId="12" pivotButton="0" quotePrefix="0" xfId="0"/>
    <xf numFmtId="170" fontId="0" fillId="0" borderId="12" pivotButton="0" quotePrefix="0" xfId="0"/>
    <xf numFmtId="0" fontId="2" fillId="0" borderId="0" pivotButton="0" quotePrefix="0" xfId="0"/>
    <xf numFmtId="168" fontId="2" fillId="20" borderId="0" pivotButton="0" quotePrefix="0" xfId="0"/>
    <xf numFmtId="166" fontId="0" fillId="0" borderId="0" pivotButton="0" quotePrefix="0" xfId="0"/>
    <xf numFmtId="0" fontId="2" fillId="20" borderId="0" pivotButton="0" quotePrefix="0" xfId="0"/>
    <xf numFmtId="10" fontId="11" fillId="20" borderId="0" pivotButton="0" quotePrefix="0" xfId="0"/>
    <xf numFmtId="0" fontId="12" fillId="0" borderId="0" pivotButton="0" quotePrefix="0" xfId="0"/>
    <xf numFmtId="168" fontId="0" fillId="0" borderId="12" pivotButton="0" quotePrefix="0" xfId="0"/>
    <xf numFmtId="0" fontId="12" fillId="0" borderId="12" pivotButton="0" quotePrefix="0" xfId="0"/>
    <xf numFmtId="166" fontId="0" fillId="0" borderId="12" pivotButton="0" quotePrefix="0" xfId="0"/>
    <xf numFmtId="171" fontId="13" fillId="20" borderId="0" pivotButton="0" quotePrefix="0" xfId="0"/>
    <xf numFmtId="0" fontId="14" fillId="0" borderId="0" pivotButton="0" quotePrefix="0" xfId="0"/>
    <xf numFmtId="0" fontId="9" fillId="21" borderId="12" applyAlignment="1" pivotButton="0" quotePrefix="0" xfId="0">
      <alignment horizontal="center" vertical="center" wrapText="1"/>
    </xf>
    <xf numFmtId="0" fontId="15" fillId="22" borderId="12" applyAlignment="1" pivotButton="0" quotePrefix="0" xfId="0">
      <alignment horizontal="center" vertical="center" wrapText="1"/>
    </xf>
    <xf numFmtId="0" fontId="15" fillId="22" borderId="12" applyAlignment="1" pivotButton="0" quotePrefix="0" xfId="0">
      <alignment horizontal="left" vertical="center" wrapText="1"/>
    </xf>
    <xf numFmtId="0" fontId="15" fillId="23" borderId="12" applyAlignment="1" pivotButton="0" quotePrefix="0" xfId="0">
      <alignment horizontal="center" vertical="center" wrapText="1"/>
    </xf>
    <xf numFmtId="0" fontId="15" fillId="23" borderId="12" applyAlignment="1" pivotButton="0" quotePrefix="0" xfId="0">
      <alignment horizontal="left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left" vertical="center" wrapText="1"/>
    </xf>
    <xf numFmtId="0" fontId="15" fillId="24" borderId="12" applyAlignment="1" pivotButton="0" quotePrefix="0" xfId="0">
      <alignment horizontal="center" vertical="center" wrapText="1"/>
    </xf>
    <xf numFmtId="0" fontId="15" fillId="24" borderId="12" applyAlignment="1" pivotButton="0" quotePrefix="0" xfId="0">
      <alignment horizontal="left" vertical="center" wrapText="1"/>
    </xf>
    <xf numFmtId="0" fontId="16" fillId="25" borderId="0" pivotButton="0" quotePrefix="0" xfId="0"/>
    <xf numFmtId="0" fontId="17" fillId="0" borderId="12" applyAlignment="1" pivotButton="0" quotePrefix="0" xfId="0">
      <alignment horizontal="left" vertical="center" wrapText="1"/>
    </xf>
    <xf numFmtId="168" fontId="2" fillId="19" borderId="0" pivotButton="0" quotePrefix="0" xfId="0"/>
    <xf numFmtId="168" fontId="0" fillId="0" borderId="0" pivotButton="0" quotePrefix="0" xfId="0"/>
    <xf numFmtId="168" fontId="2" fillId="0" borderId="0" pivotButton="0" quotePrefix="0" xfId="0"/>
    <xf numFmtId="169" fontId="0" fillId="0" borderId="0" pivotButton="0" quotePrefix="0" xfId="0"/>
    <xf numFmtId="170" fontId="0" fillId="0" borderId="12" pivotButton="0" quotePrefix="0" xfId="0"/>
    <xf numFmtId="168" fontId="2" fillId="20" borderId="0" pivotButton="0" quotePrefix="0" xfId="0"/>
    <xf numFmtId="168" fontId="0" fillId="0" borderId="12" pivotButton="0" quotePrefix="0" xfId="0"/>
    <xf numFmtId="171" fontId="13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8" customWidth="1" min="4" max="4"/>
  </cols>
  <sheetData>
    <row r="1">
      <c r="A1" s="1" t="inlineStr">
        <is>
          <t>Capital Structure of OPI at the Petition Date</t>
        </is>
      </c>
    </row>
    <row r="2">
      <c r="A2" s="2" t="inlineStr">
        <is>
          <t>Debt Instrument</t>
        </is>
      </c>
      <c r="B2" s="2" t="inlineStr">
        <is>
          <t>Outstanding Principal Amount ($m)</t>
        </is>
      </c>
      <c r="C2" s="2" t="inlineStr">
        <is>
          <t>Interest Rate</t>
        </is>
      </c>
      <c r="D2" s="2" t="inlineStr">
        <is>
          <t>Maturity</t>
        </is>
      </c>
    </row>
    <row r="3">
      <c r="A3" s="3" t="inlineStr">
        <is>
          <t>Non-Debtor Mortgages</t>
        </is>
      </c>
      <c r="B3" s="4" t="n">
        <v>177.3</v>
      </c>
      <c r="C3" s="5" t="inlineStr">
        <is>
          <t>7.79%</t>
        </is>
      </c>
      <c r="D3" s="5" t="inlineStr">
        <is>
          <t>2028-2033</t>
        </is>
      </c>
    </row>
    <row r="4">
      <c r="A4" s="3" t="inlineStr">
        <is>
          <t>Credit Facility</t>
        </is>
      </c>
      <c r="B4" s="4" t="n">
        <v>425</v>
      </c>
      <c r="C4" s="5" t="inlineStr">
        <is>
          <t>S+3.50%</t>
        </is>
      </c>
      <c r="D4" s="5" t="inlineStr">
        <is>
          <t>January 2027</t>
        </is>
      </c>
    </row>
    <row r="5">
      <c r="A5" s="3" t="inlineStr">
        <is>
          <t>March 2029 Notes</t>
        </is>
      </c>
      <c r="B5" s="4" t="n">
        <v>300</v>
      </c>
      <c r="C5" s="5" t="inlineStr">
        <is>
          <t>9.000%</t>
        </is>
      </c>
      <c r="D5" s="5" t="inlineStr">
        <is>
          <t>March 2029</t>
        </is>
      </c>
    </row>
    <row r="6">
      <c r="A6" s="3" t="inlineStr">
        <is>
          <t>September 2029 Notes</t>
        </is>
      </c>
      <c r="B6" s="4" t="n">
        <v>610</v>
      </c>
      <c r="C6" s="5" t="inlineStr">
        <is>
          <t>9.000%</t>
        </is>
      </c>
      <c r="D6" s="5" t="inlineStr">
        <is>
          <t>September 2029</t>
        </is>
      </c>
    </row>
    <row r="7">
      <c r="A7" s="3" t="inlineStr">
        <is>
          <t>March 2027 Notes</t>
        </is>
      </c>
      <c r="B7" s="4" t="n">
        <v>418</v>
      </c>
      <c r="C7" s="5" t="inlineStr">
        <is>
          <t>3.250%</t>
        </is>
      </c>
      <c r="D7" s="5" t="inlineStr">
        <is>
          <t>March 2027</t>
        </is>
      </c>
    </row>
    <row r="8">
      <c r="A8" s="6" t="inlineStr">
        <is>
          <t>Total Company Secured Debt</t>
        </is>
      </c>
      <c r="B8" s="7">
        <f>SUM(B3:B7)</f>
        <v/>
      </c>
      <c r="C8" s="17" t="n"/>
      <c r="D8" s="18" t="n"/>
    </row>
    <row r="9">
      <c r="A9" s="6" t="inlineStr">
        <is>
          <t>Total Debtor Secured Debt</t>
        </is>
      </c>
      <c r="B9" s="7">
        <f>B8-B3</f>
        <v/>
      </c>
      <c r="C9" s="17" t="n"/>
      <c r="D9" s="18" t="n"/>
    </row>
    <row r="10">
      <c r="A10" s="3" t="inlineStr">
        <is>
          <t>Priority Guaranteed Notes</t>
        </is>
      </c>
      <c r="B10" s="4" t="n">
        <v>14.4</v>
      </c>
      <c r="C10" s="5" t="inlineStr">
        <is>
          <t>8.000%</t>
        </is>
      </c>
      <c r="D10" s="5" t="inlineStr">
        <is>
          <t>January 2030</t>
        </is>
      </c>
    </row>
    <row r="11">
      <c r="A11" s="3" t="inlineStr">
        <is>
          <t>Senior Notes due 2026</t>
        </is>
      </c>
      <c r="B11" s="4" t="n">
        <v>133.9</v>
      </c>
      <c r="C11" s="5" t="inlineStr">
        <is>
          <t>2.650%</t>
        </is>
      </c>
      <c r="D11" s="5" t="inlineStr">
        <is>
          <t>June 2026</t>
        </is>
      </c>
    </row>
    <row r="12">
      <c r="A12" s="3" t="inlineStr">
        <is>
          <t>Senior Notes due 2027</t>
        </is>
      </c>
      <c r="B12" s="4" t="n">
        <v>78.3</v>
      </c>
      <c r="C12" s="5" t="inlineStr">
        <is>
          <t>2.400%</t>
        </is>
      </c>
      <c r="D12" s="5" t="inlineStr">
        <is>
          <t>February 2027</t>
        </is>
      </c>
    </row>
    <row r="13">
      <c r="A13" s="3" t="inlineStr">
        <is>
          <t>Senior Notes due 2031</t>
        </is>
      </c>
      <c r="B13" s="4" t="n">
        <v>102.4</v>
      </c>
      <c r="C13" s="5" t="inlineStr">
        <is>
          <t>3.450%</t>
        </is>
      </c>
      <c r="D13" s="5" t="inlineStr">
        <is>
          <t>October 2031</t>
        </is>
      </c>
    </row>
    <row r="14">
      <c r="A14" s="3" t="inlineStr">
        <is>
          <t>Senior Notes due 2050</t>
        </is>
      </c>
      <c r="B14" s="4" t="n">
        <v>162</v>
      </c>
      <c r="C14" s="5" t="inlineStr">
        <is>
          <t>6.375%</t>
        </is>
      </c>
      <c r="D14" s="5" t="inlineStr">
        <is>
          <t>June 2050</t>
        </is>
      </c>
    </row>
    <row r="15">
      <c r="A15" s="6" t="inlineStr">
        <is>
          <t>Total Unsecured Debt</t>
        </is>
      </c>
      <c r="B15" s="7">
        <f>SUM(B10:B14)</f>
        <v/>
      </c>
      <c r="C15" s="17" t="n"/>
      <c r="D15" s="18" t="n"/>
    </row>
    <row r="16">
      <c r="A16" s="6" t="inlineStr">
        <is>
          <t>Total Company Funded Debt</t>
        </is>
      </c>
      <c r="B16" s="7">
        <f>B8+B15</f>
        <v/>
      </c>
      <c r="C16" s="17" t="n"/>
      <c r="D16" s="18" t="n"/>
    </row>
    <row r="17">
      <c r="A17" s="6" t="inlineStr">
        <is>
          <t>Total Debtor Funded Debt</t>
        </is>
      </c>
      <c r="B17" s="7">
        <f>B9+B15</f>
        <v/>
      </c>
      <c r="C17" s="17" t="n"/>
      <c r="D17" s="18" t="n"/>
    </row>
    <row r="19">
      <c r="A19" s="8" t="inlineStr">
        <is>
          <t>Source: First-Day Declaration of A. Aiello, ¶49 (Doc. 26, filed 10/31/25, Case No. 25-90530, SDTX, Judge Lopez).</t>
        </is>
      </c>
    </row>
  </sheetData>
  <mergeCells count="7">
    <mergeCell ref="A1:D1"/>
    <mergeCell ref="B8:D8"/>
    <mergeCell ref="B17:D17"/>
    <mergeCell ref="B9:D9"/>
    <mergeCell ref="A19:D19"/>
    <mergeCell ref="B15:D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55" customWidth="1" min="4" max="4"/>
    <col width="18" customWidth="1" min="5" max="5"/>
    <col width="28" customWidth="1" min="6" max="6"/>
    <col width="22" customWidth="1" min="7" max="7"/>
    <col width="18" customWidth="1" min="8" max="8"/>
  </cols>
  <sheetData>
    <row r="1" ht="22" customHeight="1">
      <c r="A1" s="74" t="inlineStr">
        <is>
          <t>Q1: Claim Classification &amp; Voting</t>
        </is>
      </c>
    </row>
    <row r="2" ht="30" customHeight="1">
      <c r="A2" s="69" t="inlineStr">
        <is>
          <t>Source: Third Amended Plan (Doc 9, 4/8/26) Article III §3.3 + Article IV §§4.1–4.16; recovery &amp; claim sizes from Disclosure Statement (Doc 6, 3/16/26)</t>
        </is>
      </c>
    </row>
    <row r="4" ht="30" customHeight="1">
      <c r="A4" s="75" t="inlineStr">
        <is>
          <t>Class</t>
        </is>
      </c>
      <c r="B4" s="75" t="inlineStr">
        <is>
          <t>Designation</t>
        </is>
      </c>
      <c r="C4" s="75" t="inlineStr">
        <is>
          <t>Petition-Date Claim ($M)</t>
        </is>
      </c>
      <c r="D4" s="75" t="inlineStr">
        <is>
          <t>Treatment Summary</t>
        </is>
      </c>
      <c r="E4" s="75" t="inlineStr">
        <is>
          <t>Impairment</t>
        </is>
      </c>
      <c r="F4" s="75" t="inlineStr">
        <is>
          <t>Voting Status</t>
        </is>
      </c>
      <c r="G4" s="75" t="inlineStr">
        <is>
          <t>Plan Recovery %</t>
        </is>
      </c>
      <c r="H4" s="75" t="inlineStr">
        <is>
          <t>Bankruptcy Code Basis</t>
        </is>
      </c>
    </row>
    <row r="5" ht="60" customHeight="1">
      <c r="A5" s="76" t="n">
        <v>1</v>
      </c>
      <c r="B5" s="77" t="inlineStr">
        <is>
          <t>Other Secured Claims</t>
        </is>
      </c>
      <c r="C5" s="77" t="inlineStr">
        <is>
          <t>De minimis</t>
        </is>
      </c>
      <c r="D5" s="77" t="inlineStr">
        <is>
          <t>Reinstated, paid in full in cash, collateral returned, or otherwise rendered unimpaired</t>
        </is>
      </c>
      <c r="E5" s="76" t="inlineStr">
        <is>
          <t>Unimpaired</t>
        </is>
      </c>
      <c r="F5" s="76" t="inlineStr">
        <is>
          <t>No — Presumed to Accept</t>
        </is>
      </c>
      <c r="G5" s="76" t="inlineStr">
        <is>
          <t>100%</t>
        </is>
      </c>
      <c r="H5" s="76" t="inlineStr">
        <is>
          <t>§1126(f)</t>
        </is>
      </c>
    </row>
    <row r="6" ht="60" customHeight="1">
      <c r="A6" s="76" t="n">
        <v>2</v>
      </c>
      <c r="B6" s="77" t="inlineStr">
        <is>
          <t>Other Priority Claims</t>
        </is>
      </c>
      <c r="C6" s="77" t="inlineStr">
        <is>
          <t>De minimis</t>
        </is>
      </c>
      <c r="D6" s="77" t="inlineStr">
        <is>
          <t>Treated consistent with §1129(a)(9) — paid in full</t>
        </is>
      </c>
      <c r="E6" s="76" t="inlineStr">
        <is>
          <t>Unimpaired</t>
        </is>
      </c>
      <c r="F6" s="76" t="inlineStr">
        <is>
          <t>No — Presumed to Accept</t>
        </is>
      </c>
      <c r="G6" s="76" t="inlineStr">
        <is>
          <t>100%</t>
        </is>
      </c>
      <c r="H6" s="76" t="inlineStr">
        <is>
          <t>§1126(f)</t>
        </is>
      </c>
    </row>
    <row r="7" ht="60" customHeight="1">
      <c r="A7" s="76" t="n">
        <v>3</v>
      </c>
      <c r="B7" s="77" t="inlineStr">
        <is>
          <t>Mortgage Debt Guarantee Claims</t>
        </is>
      </c>
      <c r="C7" s="77" t="inlineStr">
        <is>
          <t>$177.3 (non-debtor mortgage debt guaranteed by OPI)</t>
        </is>
      </c>
      <c r="D7" s="77" t="inlineStr">
        <is>
          <t>Mortgage Debt repaid in cash from New Mortgage Debt proceeds (or reinstated); guarantee extinguished</t>
        </is>
      </c>
      <c r="E7" s="76" t="inlineStr">
        <is>
          <t>Unimpaired</t>
        </is>
      </c>
      <c r="F7" s="76" t="inlineStr">
        <is>
          <t>No — Presumed to Accept</t>
        </is>
      </c>
      <c r="G7" s="76" t="inlineStr">
        <is>
          <t>100%</t>
        </is>
      </c>
      <c r="H7" s="76" t="inlineStr">
        <is>
          <t>§1126(f)</t>
        </is>
      </c>
    </row>
    <row r="8" ht="60" customHeight="1">
      <c r="A8" s="76" t="n">
        <v>4</v>
      </c>
      <c r="B8" s="77" t="inlineStr">
        <is>
          <t>Secured Credit Facility Claims</t>
        </is>
      </c>
      <c r="C8" s="77" t="inlineStr">
        <is>
          <t>$425.0 (S+3.50%, Wells Fargo revolver $325M + TL $100M)</t>
        </is>
      </c>
      <c r="D8" s="77" t="inlineStr">
        <is>
          <t>Paid in full in cash from New Secured Credit Facility, or reinstated</t>
        </is>
      </c>
      <c r="E8" s="76" t="inlineStr">
        <is>
          <t>Unimpaired</t>
        </is>
      </c>
      <c r="F8" s="76" t="inlineStr">
        <is>
          <t>No — Presumed to Accept</t>
        </is>
      </c>
      <c r="G8" s="76" t="inlineStr">
        <is>
          <t>100%</t>
        </is>
      </c>
      <c r="H8" s="76" t="inlineStr">
        <is>
          <t>§1126(f)</t>
        </is>
      </c>
    </row>
    <row r="9" ht="60" customHeight="1">
      <c r="A9" s="76" t="n">
        <v>5</v>
      </c>
      <c r="B9" s="77" t="inlineStr">
        <is>
          <t>March 2029 Senior Secured Notes</t>
        </is>
      </c>
      <c r="C9" s="77" t="inlineStr">
        <is>
          <t>$300.0 (9.000% coupon, mat. Mar 2029)</t>
        </is>
      </c>
      <c r="D9" s="77" t="inlineStr">
        <is>
          <t>Reinstated at $300M with original terms (per March 2029 settlement)</t>
        </is>
      </c>
      <c r="E9" s="76" t="inlineStr">
        <is>
          <t>Unimpaired</t>
        </is>
      </c>
      <c r="F9" s="76" t="inlineStr">
        <is>
          <t>No — Presumed to Accept</t>
        </is>
      </c>
      <c r="G9" s="76" t="inlineStr">
        <is>
          <t>100%</t>
        </is>
      </c>
      <c r="H9" s="76" t="inlineStr">
        <is>
          <t>§1126(f)</t>
        </is>
      </c>
    </row>
    <row r="10" ht="60" customHeight="1">
      <c r="A10" s="78" t="n">
        <v>6</v>
      </c>
      <c r="B10" s="79" t="inlineStr">
        <is>
          <t>2027 Senior Secured Notes</t>
        </is>
      </c>
      <c r="C10" s="79" t="inlineStr">
        <is>
          <t>$418.0 (3.250% coupon, mat. Mar 2027)</t>
        </is>
      </c>
      <c r="D10" s="79" t="inlineStr">
        <is>
          <t>Pro rata share of $385M New 2027 Senior Secured Notes (8.375%) issued by New 2027 SPV per 2027 Settlement; $50M cash paydown + $10M support fee to AHG</t>
        </is>
      </c>
      <c r="E10" s="78" t="inlineStr">
        <is>
          <t>Impaired</t>
        </is>
      </c>
      <c r="F10" s="78" t="inlineStr">
        <is>
          <t>YES — Entitled to Vote</t>
        </is>
      </c>
      <c r="G10" s="78" t="inlineStr">
        <is>
          <t>100%</t>
        </is>
      </c>
      <c r="H10" s="78" t="inlineStr">
        <is>
          <t>§1126(c)</t>
        </is>
      </c>
    </row>
    <row r="11" ht="60" customHeight="1">
      <c r="A11" s="78" t="n">
        <v>7</v>
      </c>
      <c r="B11" s="79" t="inlineStr">
        <is>
          <t>September 2029 Senior Secured Notes</t>
        </is>
      </c>
      <c r="C11" s="79" t="inlineStr">
        <is>
          <t>$610.0 (9.000% coupon, mat. Sep 2029) — bifurcated into secured + deficiency portions per §506(a)</t>
        </is>
      </c>
      <c r="D11" s="79" t="inlineStr">
        <is>
          <t>Pro rata $300M Secured Exit Notes + Recovery Election ($120M Secured Exit Notes / $98M Reorg Common Equity, conv. $20.00/sh); deficiency portion gets 5.3% of Reorg Common Equity</t>
        </is>
      </c>
      <c r="E11" s="78" t="inlineStr">
        <is>
          <t>Impaired</t>
        </is>
      </c>
      <c r="F11" s="78" t="inlineStr">
        <is>
          <t>YES — Entitled to Vote</t>
        </is>
      </c>
      <c r="G11" s="78" t="inlineStr">
        <is>
          <t>84.1–93.3% (secured); deficiency in Class 7 unsecured pool</t>
        </is>
      </c>
      <c r="H11" s="78" t="inlineStr">
        <is>
          <t>§1126(c)</t>
        </is>
      </c>
    </row>
    <row r="12" ht="60" customHeight="1">
      <c r="A12" s="78" t="n">
        <v>8</v>
      </c>
      <c r="B12" s="79" t="inlineStr">
        <is>
          <t>DIP Claims</t>
        </is>
      </c>
      <c r="C12" s="79" t="inlineStr">
        <is>
          <t>$125 ($10M initial draw + $115M post-final-order) plus upfront/exit/anchor fees</t>
        </is>
      </c>
      <c r="D12" s="79" t="inlineStr">
        <is>
          <t>Per 4/5/26 Notice: equitized via DIP Equity Distribution + DIP Commitment &amp; Exit Fee Equity + DIP Upfront Fee Equity (cash option preserved at Debtors' discretion)</t>
        </is>
      </c>
      <c r="E12" s="78" t="inlineStr">
        <is>
          <t>Impaired</t>
        </is>
      </c>
      <c r="F12" s="78" t="inlineStr">
        <is>
          <t>YES — Entitled to Vote</t>
        </is>
      </c>
      <c r="G12" s="78" t="inlineStr">
        <is>
          <t>100%</t>
        </is>
      </c>
      <c r="H12" s="78" t="inlineStr">
        <is>
          <t>§1126(c)</t>
        </is>
      </c>
    </row>
    <row r="13" ht="60" customHeight="1">
      <c r="A13" s="78" t="n">
        <v>9</v>
      </c>
      <c r="B13" s="79" t="inlineStr">
        <is>
          <t>Priority Guaranteed Unsecured Notes</t>
        </is>
      </c>
      <c r="C13" s="79" t="inlineStr">
        <is>
          <t>$14.4 (8.000% coupon, mat. Jan 2030)</t>
        </is>
      </c>
      <c r="D13" s="79" t="inlineStr">
        <is>
          <t>100% recovery in Reorganized Common Equity from Unsecured Equity Pool Waterfall (subject to dilution by MIP, Sept 2029 anti-dilution, New Warrants)</t>
        </is>
      </c>
      <c r="E13" s="78" t="inlineStr">
        <is>
          <t>Impaired</t>
        </is>
      </c>
      <c r="F13" s="78" t="inlineStr">
        <is>
          <t>YES — Entitled to Vote</t>
        </is>
      </c>
      <c r="G13" s="78" t="inlineStr">
        <is>
          <t>80.1–100.0%</t>
        </is>
      </c>
      <c r="H13" s="78" t="inlineStr">
        <is>
          <t>§1126(c)</t>
        </is>
      </c>
    </row>
    <row r="14" ht="60" customHeight="1">
      <c r="A14" s="78" t="n">
        <v>10</v>
      </c>
      <c r="B14" s="79" t="inlineStr">
        <is>
          <t>Unsecured Notes Claims</t>
        </is>
      </c>
      <c r="C14" s="79" t="inlineStr">
        <is>
          <t>$476.6 ($133.9M 2026 + $78.3M 2027 + $102.4M 2031 + $162.0M 2050 unsecured notes)</t>
        </is>
      </c>
      <c r="D14" s="79" t="inlineStr">
        <is>
          <t>6.3% of Reorganized Common Equity (from Unsec Equity Pool Waterfall) + New Warrants + Subscription Rights in the Equity Rights Offering</t>
        </is>
      </c>
      <c r="E14" s="78" t="inlineStr">
        <is>
          <t>Impaired</t>
        </is>
      </c>
      <c r="F14" s="78" t="inlineStr">
        <is>
          <t>YES — Entitled to Vote</t>
        </is>
      </c>
      <c r="G14" s="78" t="inlineStr">
        <is>
          <t>4.4–7.0% (primary equity, before warrants/ERO upside)</t>
        </is>
      </c>
      <c r="H14" s="78" t="inlineStr">
        <is>
          <t>§1126(c)</t>
        </is>
      </c>
    </row>
    <row r="15" ht="60" customHeight="1">
      <c r="A15" s="78" t="n">
        <v>11</v>
      </c>
      <c r="B15" s="79" t="inlineStr">
        <is>
          <t>Trade and Vendor Claims</t>
        </is>
      </c>
      <c r="C15" s="79" t="inlineStr">
        <is>
          <t>Reconciliation ongoing</t>
        </is>
      </c>
      <c r="D15" s="79" t="inlineStr">
        <is>
          <t>Paid in full in cash</t>
        </is>
      </c>
      <c r="E15" s="78" t="inlineStr">
        <is>
          <t>Impaired (technical — paid late)</t>
        </is>
      </c>
      <c r="F15" s="78" t="inlineStr">
        <is>
          <t>YES — Entitled to Vote</t>
        </is>
      </c>
      <c r="G15" s="78" t="inlineStr">
        <is>
          <t>100%</t>
        </is>
      </c>
      <c r="H15" s="78" t="inlineStr">
        <is>
          <t>§1126(c)</t>
        </is>
      </c>
    </row>
    <row r="16" ht="60" customHeight="1">
      <c r="A16" s="78" t="n">
        <v>12</v>
      </c>
      <c r="B16" s="79" t="inlineStr">
        <is>
          <t>Other General Unsecured Claims</t>
        </is>
      </c>
      <c r="C16" s="79" t="inlineStr">
        <is>
          <t>Reconciliation ongoing</t>
        </is>
      </c>
      <c r="D16" s="79" t="inlineStr">
        <is>
          <t>Convenience-class style: claims ≤ $25K paid 100% cash; claims &gt; $25K paid $25K cash</t>
        </is>
      </c>
      <c r="E16" s="78" t="inlineStr">
        <is>
          <t>Impaired</t>
        </is>
      </c>
      <c r="F16" s="78" t="inlineStr">
        <is>
          <t>YES — Entitled to Vote</t>
        </is>
      </c>
      <c r="G16" s="78" t="inlineStr">
        <is>
          <t>16.7–100%</t>
        </is>
      </c>
      <c r="H16" s="78" t="inlineStr">
        <is>
          <t>§1126(c)</t>
        </is>
      </c>
    </row>
    <row r="17" ht="60" customHeight="1">
      <c r="A17" s="80" t="n">
        <v>13</v>
      </c>
      <c r="B17" s="81" t="inlineStr">
        <is>
          <t>Intercompany Claims</t>
        </is>
      </c>
      <c r="C17" s="81" t="inlineStr">
        <is>
          <t>N/A</t>
        </is>
      </c>
      <c r="D17" s="81" t="inlineStr">
        <is>
          <t>At Debtors' option: Reinstated OR set off / cancelled / contributed / merged / released</t>
        </is>
      </c>
      <c r="E17" s="80" t="inlineStr">
        <is>
          <t>Unimpaired or Impaired</t>
        </is>
      </c>
      <c r="F17" s="80" t="inlineStr">
        <is>
          <t>No — Presumed to Accept (if reinstated) / Deemed to Reject (if cancelled)</t>
        </is>
      </c>
      <c r="G17" s="80" t="inlineStr">
        <is>
          <t>N/A</t>
        </is>
      </c>
      <c r="H17" s="80" t="inlineStr">
        <is>
          <t>§1126(f) or §1126(g)</t>
        </is>
      </c>
    </row>
    <row r="18" ht="60" customHeight="1">
      <c r="A18" s="80" t="n">
        <v>14</v>
      </c>
      <c r="B18" s="81" t="inlineStr">
        <is>
          <t>Intercompany Interests</t>
        </is>
      </c>
      <c r="C18" s="81" t="inlineStr">
        <is>
          <t>N/A</t>
        </is>
      </c>
      <c r="D18" s="81" t="inlineStr">
        <is>
          <t>At Debtors' option: Reinstated OR set off / cancelled / contributed / merged / released</t>
        </is>
      </c>
      <c r="E18" s="80" t="inlineStr">
        <is>
          <t>Unimpaired or Impaired</t>
        </is>
      </c>
      <c r="F18" s="80" t="inlineStr">
        <is>
          <t>No — Presumed to Accept (if reinstated) / Deemed to Reject (if cancelled)</t>
        </is>
      </c>
      <c r="G18" s="80" t="inlineStr">
        <is>
          <t>N/A</t>
        </is>
      </c>
      <c r="H18" s="80" t="inlineStr">
        <is>
          <t>§1126(f) or §1126(g)</t>
        </is>
      </c>
    </row>
    <row r="19" ht="60" customHeight="1">
      <c r="A19" s="82" t="n">
        <v>15</v>
      </c>
      <c r="B19" s="83" t="inlineStr">
        <is>
          <t>510(b) Claims (subordinated securities claims)</t>
        </is>
      </c>
      <c r="C19" s="83" t="inlineStr">
        <is>
          <t>N/A — disputed</t>
        </is>
      </c>
      <c r="D19" s="83" t="inlineStr">
        <is>
          <t>Cancelled, released, discharged — no distribution</t>
        </is>
      </c>
      <c r="E19" s="82" t="inlineStr">
        <is>
          <t>Impaired</t>
        </is>
      </c>
      <c r="F19" s="82" t="inlineStr">
        <is>
          <t>No — Deemed to Reject</t>
        </is>
      </c>
      <c r="G19" s="82" t="inlineStr">
        <is>
          <t>0%</t>
        </is>
      </c>
      <c r="H19" s="82" t="inlineStr">
        <is>
          <t>§1126(g)</t>
        </is>
      </c>
    </row>
    <row r="20" ht="60" customHeight="1">
      <c r="A20" s="82" t="n">
        <v>16</v>
      </c>
      <c r="B20" s="83" t="inlineStr">
        <is>
          <t>Existing Common Equity</t>
        </is>
      </c>
      <c r="C20" s="83" t="inlineStr">
        <is>
          <t>$0 (existing OPI common shares)</t>
        </is>
      </c>
      <c r="D20" s="83" t="inlineStr">
        <is>
          <t>Cancelled, released, discharged — no distribution</t>
        </is>
      </c>
      <c r="E20" s="82" t="inlineStr">
        <is>
          <t>Impaired</t>
        </is>
      </c>
      <c r="F20" s="82" t="inlineStr">
        <is>
          <t>No — Deemed to Reject</t>
        </is>
      </c>
      <c r="G20" s="82" t="inlineStr">
        <is>
          <t>0%</t>
        </is>
      </c>
      <c r="H20" s="82" t="inlineStr">
        <is>
          <t>§1126(g)</t>
        </is>
      </c>
    </row>
    <row r="22">
      <c r="A22" s="84" t="inlineStr">
        <is>
          <t>Summary Counts</t>
        </is>
      </c>
    </row>
    <row r="23">
      <c r="A23" s="85" t="inlineStr">
        <is>
          <t>Total Classes</t>
        </is>
      </c>
      <c r="B23" s="81" t="inlineStr">
        <is>
          <t>16</t>
        </is>
      </c>
    </row>
    <row r="24">
      <c r="A24" s="85" t="inlineStr">
        <is>
          <t>Unimpaired (presumed to accept; not solicited)</t>
        </is>
      </c>
      <c r="B24" s="81" t="inlineStr">
        <is>
          <t>5  (Classes 1, 2, 3, 4, 5)</t>
        </is>
      </c>
    </row>
    <row r="25">
      <c r="A25" s="85" t="inlineStr">
        <is>
          <t>Impaired &amp; entitled to vote</t>
        </is>
      </c>
      <c r="B25" s="81" t="inlineStr">
        <is>
          <t>7  (Classes 6, 7, 8, 9, 10, 11, 12)</t>
        </is>
      </c>
    </row>
    <row r="26">
      <c r="A26" s="85" t="inlineStr">
        <is>
          <t>Impaired &amp; deemed to reject (not solicited)</t>
        </is>
      </c>
      <c r="B26" s="81" t="inlineStr">
        <is>
          <t>2  (Classes 15, 16)</t>
        </is>
      </c>
    </row>
    <row r="27">
      <c r="A27" s="85" t="inlineStr">
        <is>
          <t>Toggle classes (Unimpaired OR Impaired-deemed-reject)</t>
        </is>
      </c>
      <c r="B27" s="81" t="inlineStr">
        <is>
          <t>2  (Classes 13, 14 — Intercompany)</t>
        </is>
      </c>
    </row>
    <row r="28">
      <c r="A28" s="85" t="inlineStr">
        <is>
          <t>Cramdown required?</t>
        </is>
      </c>
      <c r="B28" s="81" t="inlineStr">
        <is>
          <t>Yes — Classes 15 &amp; 16 are deemed to reject, so Debtors must satisfy §1129(b) "fair &amp; equitable" cramdown for those classes (no junior class receives anything on account of pre-existing interest = absolute priority satisfied)</t>
        </is>
      </c>
    </row>
  </sheetData>
  <mergeCells count="9">
    <mergeCell ref="B28:H28"/>
    <mergeCell ref="B26:H26"/>
    <mergeCell ref="B27:H27"/>
    <mergeCell ref="A2:H2"/>
    <mergeCell ref="B24:H24"/>
    <mergeCell ref="B25:H25"/>
    <mergeCell ref="A1:H1"/>
    <mergeCell ref="A22:H22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22" customWidth="1" min="4" max="4"/>
    <col width="20" customWidth="1" min="5" max="5"/>
    <col width="16" customWidth="1" min="6" max="6"/>
    <col width="12" customWidth="1" min="7" max="7"/>
  </cols>
  <sheetData>
    <row r="1">
      <c r="A1" s="1" t="inlineStr">
        <is>
          <t>Cash Interest on the Capital Structure as of the Petition Date</t>
        </is>
      </c>
    </row>
    <row r="2">
      <c r="A2" s="2" t="inlineStr">
        <is>
          <t>Debt Instrument</t>
        </is>
      </c>
      <c r="B2" s="2" t="inlineStr">
        <is>
          <t>Outstanding Principal Amount ($m)</t>
        </is>
      </c>
      <c r="C2" s="2" t="inlineStr">
        <is>
          <t>Interest Rate</t>
        </is>
      </c>
      <c r="D2" s="2" t="inlineStr">
        <is>
          <t>Annual Interest ($m)</t>
        </is>
      </c>
      <c r="E2" s="9" t="inlineStr">
        <is>
          <t>Numeric Rate (helper)</t>
        </is>
      </c>
      <c r="F2" s="2" t="inlineStr">
        <is>
          <t>SOFR Rate</t>
        </is>
      </c>
      <c r="G2" s="10" t="n">
        <v>0.042</v>
      </c>
    </row>
    <row r="3">
      <c r="A3" s="3" t="inlineStr">
        <is>
          <t>Non-Debtor Mortgages</t>
        </is>
      </c>
      <c r="B3" s="4" t="n">
        <v>177.3</v>
      </c>
      <c r="C3" s="5" t="inlineStr">
        <is>
          <t>7.79%</t>
        </is>
      </c>
      <c r="D3" s="4">
        <f>B3*E3</f>
        <v/>
      </c>
      <c r="E3" s="11" t="n">
        <v>0.0779</v>
      </c>
      <c r="F3" s="12" t="inlineStr">
        <is>
          <t>(30-Day Average as of Petition Date)</t>
        </is>
      </c>
    </row>
    <row r="4">
      <c r="A4" s="3" t="inlineStr">
        <is>
          <t>Credit Facility</t>
        </is>
      </c>
      <c r="B4" s="4" t="n">
        <v>425</v>
      </c>
      <c r="C4" s="5" t="inlineStr">
        <is>
          <t>S+3.50%</t>
        </is>
      </c>
      <c r="D4" s="4">
        <f>B4*E4</f>
        <v/>
      </c>
      <c r="E4" s="11">
        <f>$G$2+0.0350</f>
        <v/>
      </c>
    </row>
    <row r="5">
      <c r="A5" s="3" t="inlineStr">
        <is>
          <t>March 2029 Notes</t>
        </is>
      </c>
      <c r="B5" s="4" t="n">
        <v>300</v>
      </c>
      <c r="C5" s="5" t="inlineStr">
        <is>
          <t>9.000%</t>
        </is>
      </c>
      <c r="D5" s="4">
        <f>B5*E5</f>
        <v/>
      </c>
      <c r="E5" s="11" t="n">
        <v>0.09</v>
      </c>
    </row>
    <row r="6">
      <c r="A6" s="3" t="inlineStr">
        <is>
          <t>September 2029 Notes</t>
        </is>
      </c>
      <c r="B6" s="4" t="n">
        <v>610</v>
      </c>
      <c r="C6" s="5" t="inlineStr">
        <is>
          <t>9.000%</t>
        </is>
      </c>
      <c r="D6" s="4">
        <f>B6*E6</f>
        <v/>
      </c>
      <c r="E6" s="11" t="n">
        <v>0.09</v>
      </c>
    </row>
    <row r="7">
      <c r="A7" s="3" t="inlineStr">
        <is>
          <t>March 2027 Notes</t>
        </is>
      </c>
      <c r="B7" s="4" t="n">
        <v>418</v>
      </c>
      <c r="C7" s="5" t="inlineStr">
        <is>
          <t>3.250%</t>
        </is>
      </c>
      <c r="D7" s="4">
        <f>B7*E7</f>
        <v/>
      </c>
      <c r="E7" s="11" t="n">
        <v>0.0325</v>
      </c>
    </row>
    <row r="8">
      <c r="A8" s="3" t="inlineStr">
        <is>
          <t>Priority Guaranteed Notes</t>
        </is>
      </c>
      <c r="B8" s="4" t="n">
        <v>14.4</v>
      </c>
      <c r="C8" s="5" t="inlineStr">
        <is>
          <t>8.000%</t>
        </is>
      </c>
      <c r="D8" s="4">
        <f>B8*E8</f>
        <v/>
      </c>
      <c r="E8" s="11" t="n">
        <v>0.08</v>
      </c>
    </row>
    <row r="9">
      <c r="A9" s="3" t="inlineStr">
        <is>
          <t>Senior Notes due 2026</t>
        </is>
      </c>
      <c r="B9" s="4" t="n">
        <v>133.9</v>
      </c>
      <c r="C9" s="5" t="inlineStr">
        <is>
          <t>2.650%</t>
        </is>
      </c>
      <c r="D9" s="4">
        <f>B9*E9</f>
        <v/>
      </c>
      <c r="E9" s="11" t="n">
        <v>0.0265</v>
      </c>
    </row>
    <row r="10">
      <c r="A10" s="3" t="inlineStr">
        <is>
          <t>Senior Notes due 2027</t>
        </is>
      </c>
      <c r="B10" s="4" t="n">
        <v>78.3</v>
      </c>
      <c r="C10" s="5" t="inlineStr">
        <is>
          <t>2.400%</t>
        </is>
      </c>
      <c r="D10" s="4">
        <f>B10*E10</f>
        <v/>
      </c>
      <c r="E10" s="11" t="n">
        <v>0.024</v>
      </c>
    </row>
    <row r="11">
      <c r="A11" s="3" t="inlineStr">
        <is>
          <t>Senior Notes due 2031</t>
        </is>
      </c>
      <c r="B11" s="4" t="n">
        <v>102.4</v>
      </c>
      <c r="C11" s="5" t="inlineStr">
        <is>
          <t>3.450%</t>
        </is>
      </c>
      <c r="D11" s="4">
        <f>B11*E11</f>
        <v/>
      </c>
      <c r="E11" s="11" t="n">
        <v>0.0345</v>
      </c>
    </row>
    <row r="12">
      <c r="A12" s="3" t="inlineStr">
        <is>
          <t>Senior Notes due 2050</t>
        </is>
      </c>
      <c r="B12" s="4" t="n">
        <v>162</v>
      </c>
      <c r="C12" s="5" t="inlineStr">
        <is>
          <t>6.375%</t>
        </is>
      </c>
      <c r="D12" s="4">
        <f>B12*E12</f>
        <v/>
      </c>
      <c r="E12" s="11" t="n">
        <v>0.06375</v>
      </c>
    </row>
    <row r="13">
      <c r="A13" s="6" t="inlineStr">
        <is>
          <t>Total Principal Debt Amount</t>
        </is>
      </c>
      <c r="B13" s="7">
        <f>SUM(B3:B12)</f>
        <v/>
      </c>
      <c r="C13" s="17" t="n"/>
      <c r="D13" s="18" t="n"/>
      <c r="E13" s="6" t="n"/>
    </row>
    <row r="14">
      <c r="A14" s="6" t="inlineStr">
        <is>
          <t>Total Annual Cash Interest</t>
        </is>
      </c>
      <c r="B14" s="7">
        <f>SUM(D3:D12)</f>
        <v/>
      </c>
      <c r="C14" s="17" t="n"/>
      <c r="D14" s="18" t="n"/>
      <c r="E14" s="6" t="n"/>
    </row>
    <row r="16">
      <c r="A16" s="8" t="inlineStr">
        <is>
          <t>Notes: Credit Facility rate per ¶58 of First-Day Declaration is SOFR + 350 bps + 10 bps CSA. This build uses S+3.50% for simplicity (matches headline ¶49 disclosure).</t>
        </is>
      </c>
    </row>
    <row r="17">
      <c r="A17" s="8" t="inlineStr">
        <is>
          <t>SOFR assumption: change cell G2 to flex the Credit Facility's all-in rate.</t>
        </is>
      </c>
    </row>
  </sheetData>
  <mergeCells count="6">
    <mergeCell ref="F3:G3"/>
    <mergeCell ref="A1:D1"/>
    <mergeCell ref="B14:D14"/>
    <mergeCell ref="A17:G17"/>
    <mergeCell ref="B13:D13"/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</cols>
  <sheetData>
    <row r="1">
      <c r="A1" s="1" t="inlineStr">
        <is>
          <t>Total Debt / NOI Multiples &amp; Coverage</t>
        </is>
      </c>
    </row>
    <row r="3">
      <c r="A3" s="13" t="inlineStr">
        <is>
          <t>NOI Inputs (Cleansing Materials, p. 10)</t>
        </is>
      </c>
    </row>
    <row r="4">
      <c r="A4" t="inlineStr">
        <is>
          <t>TTM Cash Basis NOI (3/31/25)</t>
        </is>
      </c>
      <c r="B4" s="14" t="n">
        <v>230.7</v>
      </c>
      <c r="C4" t="inlineStr">
        <is>
          <t>$M</t>
        </is>
      </c>
    </row>
    <row r="5">
      <c r="A5" t="inlineStr">
        <is>
          <t>2025E Cash Basis NOI</t>
        </is>
      </c>
      <c r="B5" s="14" t="n">
        <v>216.4</v>
      </c>
      <c r="C5" t="inlineStr">
        <is>
          <t>$M</t>
        </is>
      </c>
    </row>
    <row r="6">
      <c r="A6" t="inlineStr">
        <is>
          <t>2026E Cash Basis NOI</t>
        </is>
      </c>
      <c r="B6" s="14" t="n">
        <v>211.3</v>
      </c>
      <c r="C6" t="inlineStr">
        <is>
          <t>$M</t>
        </is>
      </c>
    </row>
    <row r="8">
      <c r="A8" s="13" t="inlineStr">
        <is>
          <t>Debt Inputs (linked to Capital Structure tab)</t>
        </is>
      </c>
    </row>
    <row r="9">
      <c r="A9" t="inlineStr">
        <is>
          <t>Total Company Funded Debt</t>
        </is>
      </c>
      <c r="B9" s="14">
        <f>'Capital Structure'!B16</f>
        <v/>
      </c>
      <c r="C9" t="inlineStr">
        <is>
          <t>$M</t>
        </is>
      </c>
    </row>
    <row r="10">
      <c r="A10" t="inlineStr">
        <is>
          <t>Total Debtor Funded Debt</t>
        </is>
      </c>
      <c r="B10" s="14">
        <f>'Capital Structure'!B17</f>
        <v/>
      </c>
      <c r="C10" t="inlineStr">
        <is>
          <t>$M</t>
        </is>
      </c>
    </row>
    <row r="12">
      <c r="A12" s="13" t="inlineStr">
        <is>
          <t>Total Debt / NOI Multiples</t>
        </is>
      </c>
    </row>
    <row r="13">
      <c r="A13" s="2" t="inlineStr">
        <is>
          <t>Calculation</t>
        </is>
      </c>
      <c r="B13" s="2" t="inlineStr">
        <is>
          <t>Inputs</t>
        </is>
      </c>
      <c r="C13" s="2" t="inlineStr">
        <is>
          <t>Multiple</t>
        </is>
      </c>
    </row>
    <row r="14">
      <c r="A14" s="3" t="inlineStr">
        <is>
          <t>Total Company Debt / TTM NOI</t>
        </is>
      </c>
      <c r="B14" s="5">
        <f>B9&amp;" / "&amp;B4</f>
        <v/>
      </c>
      <c r="C14" s="15">
        <f>B9/B4</f>
        <v/>
      </c>
    </row>
    <row r="15">
      <c r="A15" s="3" t="inlineStr">
        <is>
          <t>Total Company Debt / 2025E NOI</t>
        </is>
      </c>
      <c r="B15" s="5">
        <f>B9&amp;" / "&amp;B5</f>
        <v/>
      </c>
      <c r="C15" s="15">
        <f>B9/B5</f>
        <v/>
      </c>
    </row>
    <row r="16">
      <c r="A16" s="3" t="inlineStr">
        <is>
          <t>Total Company Debt / 2026E NOI</t>
        </is>
      </c>
      <c r="B16" s="5">
        <f>B9&amp;" / "&amp;B6</f>
        <v/>
      </c>
      <c r="C16" s="15">
        <f>B9/B6</f>
        <v/>
      </c>
    </row>
    <row r="17">
      <c r="A17" s="3" t="inlineStr">
        <is>
          <t>Total Debtor Debt / TTM NOI</t>
        </is>
      </c>
      <c r="B17" s="5">
        <f>B10&amp;" / "&amp;B4</f>
        <v/>
      </c>
      <c r="C17" s="15">
        <f>B10/B4</f>
        <v/>
      </c>
    </row>
    <row r="18">
      <c r="A18" s="3" t="inlineStr">
        <is>
          <t>Total Debtor Debt / 2025E NOI</t>
        </is>
      </c>
      <c r="B18" s="5">
        <f>B10&amp;" / "&amp;B5</f>
        <v/>
      </c>
      <c r="C18" s="15">
        <f>B10/B5</f>
        <v/>
      </c>
    </row>
    <row r="19">
      <c r="A19" s="3" t="inlineStr">
        <is>
          <t>Total Debtor Debt / 2026E NOI</t>
        </is>
      </c>
      <c r="B19" s="5">
        <f>B10&amp;" / "&amp;B6</f>
        <v/>
      </c>
      <c r="C19" s="15">
        <f>B10/B6</f>
        <v/>
      </c>
    </row>
    <row r="21">
      <c r="A21" s="13" t="inlineStr">
        <is>
          <t>Coverage Ratios</t>
        </is>
      </c>
    </row>
    <row r="22">
      <c r="A22" s="3" t="inlineStr">
        <is>
          <t>Cash Interest as % of TTM NOI</t>
        </is>
      </c>
      <c r="B22" s="16">
        <f>'Cash Interest'!B14/B4</f>
        <v/>
      </c>
      <c r="C22" s="3" t="n"/>
    </row>
    <row r="23">
      <c r="A23" s="3" t="inlineStr">
        <is>
          <t>NOI / Cash Interest (interest coverage)</t>
        </is>
      </c>
      <c r="B23" s="15">
        <f>B4/'Cash Interest'!B14</f>
        <v/>
      </c>
      <c r="C23" s="3" t="n"/>
    </row>
    <row r="25">
      <c r="A25" s="8" t="inlineStr">
        <is>
          <t>Note: TTM NOI of $230.7M from the Cleansing Materials silo summary p. 10 (sum of all silos). 2025/2026E from projection page.</t>
        </is>
      </c>
    </row>
  </sheetData>
  <mergeCells count="6">
    <mergeCell ref="A25:C25"/>
    <mergeCell ref="A1:C1"/>
    <mergeCell ref="A8:C8"/>
    <mergeCell ref="A3:C3"/>
    <mergeCell ref="A21:C21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1" customWidth="1" min="3" max="3"/>
    <col width="11" customWidth="1" min="4" max="4"/>
    <col width="14" customWidth="1" min="5" max="5"/>
    <col width="44" customWidth="1" min="6" max="6"/>
    <col width="36" customWidth="1" min="7" max="7"/>
    <col width="38" customWidth="1" min="8" max="8"/>
  </cols>
  <sheetData>
    <row r="1" ht="24" customHeight="1">
      <c r="A1" s="19" t="inlineStr">
        <is>
          <t>Corporate Structure — OPI Group at Petition Date (10/31/2025)</t>
        </is>
      </c>
    </row>
    <row r="2" ht="28" customHeight="1">
      <c r="A2" s="21" t="inlineStr">
        <is>
          <t>Each row = one "box" in the corporate group. Direct debt is shown for the issuing/borrowing entity; guarantor and intercompany columns map the cross-entity relationships called for in Q3.</t>
        </is>
      </c>
    </row>
    <row r="4">
      <c r="A4" s="22" t="inlineStr">
        <is>
          <t>Snapshot — Q3 Answers</t>
        </is>
      </c>
      <c r="B4" s="48" t="n"/>
      <c r="C4" s="48" t="n"/>
      <c r="D4" s="48" t="n"/>
      <c r="E4" s="48" t="n"/>
      <c r="F4" s="48" t="n"/>
      <c r="G4" s="48" t="n"/>
      <c r="H4" s="49" t="n"/>
    </row>
    <row r="5">
      <c r="A5" s="24" t="inlineStr">
        <is>
          <t>Metric</t>
        </is>
      </c>
      <c r="B5" s="24" t="inlineStr">
        <is>
          <t>Value</t>
        </is>
      </c>
      <c r="C5" s="24" t="inlineStr">
        <is>
          <t>Detail / Source</t>
        </is>
      </c>
      <c r="D5" s="24" t="n"/>
      <c r="E5" s="24" t="n"/>
      <c r="F5" s="24" t="n"/>
      <c r="G5" s="24" t="n"/>
      <c r="H5" s="24" t="n"/>
    </row>
    <row r="6">
      <c r="A6" s="25" t="inlineStr">
        <is>
          <t>Total entities in group</t>
        </is>
      </c>
      <c r="B6" s="25" t="inlineStr">
        <is>
          <t>~81</t>
        </is>
      </c>
      <c r="C6" s="25" t="inlineStr">
        <is>
          <t>73 Debtor entities + 7 Non-Debtor CMBS SPEs + 1 Non-Debtor JV (per 11/3/25 first day demo, p.3)</t>
        </is>
      </c>
      <c r="D6" s="25" t="n"/>
      <c r="E6" s="25" t="n"/>
      <c r="F6" s="25" t="n"/>
      <c r="G6" s="25" t="n"/>
      <c r="H6" s="25" t="n"/>
    </row>
    <row r="7">
      <c r="A7" s="25" t="inlineStr">
        <is>
          <t>% of entities that are Debtors</t>
        </is>
      </c>
      <c r="B7" s="25" t="inlineStr">
        <is>
          <t>~90%</t>
        </is>
      </c>
      <c r="C7" s="25" t="inlineStr">
        <is>
          <t>73 / 81. Non-Debtors are the 7 CMBS property SPEs (UBS + JPM borrowers) and the First Potomac DC 51% JV</t>
        </is>
      </c>
      <c r="D7" s="25" t="n"/>
      <c r="E7" s="25" t="n"/>
      <c r="F7" s="25" t="n"/>
      <c r="G7" s="25" t="n"/>
      <c r="H7" s="25" t="n"/>
    </row>
    <row r="8">
      <c r="A8" s="25" t="inlineStr">
        <is>
          <t>Properties at Non-Debtors</t>
        </is>
      </c>
      <c r="B8" s="25" t="inlineStr">
        <is>
          <t>7 wholly-owned (+2 JV)</t>
        </is>
      </c>
      <c r="C8" s="25" t="inlineStr">
        <is>
          <t>7 CMBS properties at non-Debtor SPEs ($177.3mm of mortgages); 2 properties held via 51% unconsolidated JV</t>
        </is>
      </c>
      <c r="D8" s="25" t="n"/>
      <c r="E8" s="25" t="n"/>
      <c r="F8" s="25" t="n"/>
      <c r="G8" s="25" t="n"/>
      <c r="H8" s="25" t="n"/>
    </row>
    <row r="9">
      <c r="A9" s="25" t="inlineStr">
        <is>
          <t>Consolidated debt at Non-Debtors</t>
        </is>
      </c>
      <c r="B9" s="25" t="inlineStr">
        <is>
          <t>$177.3mm (~7.3%)</t>
        </is>
      </c>
      <c r="C9" s="25" t="inlineStr">
        <is>
          <t>$177.3 / $2,421.3 total Company funded debt. Non-recourse to Debtors except for OPI limited guaranty (decl. ¶55)</t>
        </is>
      </c>
      <c r="D9" s="25" t="n"/>
      <c r="E9" s="25" t="n"/>
      <c r="F9" s="25" t="n"/>
      <c r="G9" s="25" t="n"/>
      <c r="H9" s="25" t="n"/>
    </row>
    <row r="11" ht="32" customHeight="1">
      <c r="A11" s="26" t="inlineStr">
        <is>
          <t>Silo / Group</t>
        </is>
      </c>
      <c r="B11" s="26" t="inlineStr">
        <is>
          <t>Entity (Box)</t>
        </is>
      </c>
      <c r="C11" s="26" t="inlineStr">
        <is>
          <t>Debtor?</t>
        </is>
      </c>
      <c r="D11" s="26" t="inlineStr">
        <is>
          <t># Props</t>
        </is>
      </c>
      <c r="E11" s="26" t="inlineStr">
        <is>
          <t>Direct Debt ($m)</t>
        </is>
      </c>
      <c r="F11" s="26" t="inlineStr">
        <is>
          <t>Guarantees Debt at Other Boxes (cross-silo)</t>
        </is>
      </c>
      <c r="G11" s="26" t="inlineStr">
        <is>
          <t>Intercompany Claims</t>
        </is>
      </c>
      <c r="H11" s="26" t="inlineStr">
        <is>
          <t>Notes / Independent Director</t>
        </is>
      </c>
    </row>
    <row r="12" ht="18" customHeight="1">
      <c r="A12" s="27" t="inlineStr">
        <is>
          <t>A. Top-Level Parent (issuer / parent guarantor)</t>
        </is>
      </c>
      <c r="B12" s="48" t="n"/>
      <c r="C12" s="48" t="n"/>
      <c r="D12" s="48" t="n"/>
      <c r="E12" s="48" t="n"/>
      <c r="F12" s="48" t="n"/>
      <c r="G12" s="48" t="n"/>
      <c r="H12" s="49" t="n"/>
    </row>
    <row r="13" ht="42" customHeight="1">
      <c r="A13" s="28" t="inlineStr">
        <is>
          <t>Parent</t>
        </is>
      </c>
      <c r="B13" s="28" t="inlineStr">
        <is>
          <t>Office Properties Income Trust (OPI) — MD REIT</t>
        </is>
      </c>
      <c r="C13" s="28" t="inlineStr">
        <is>
          <t>Debtor</t>
        </is>
      </c>
      <c r="D13" s="28" t="n">
        <v>0</v>
      </c>
      <c r="E13" s="28" t="n">
        <v>1819</v>
      </c>
      <c r="F13" s="28" t="inlineStr">
        <is>
          <t>Issuer of $1,819mm of Notes ($300 M29 + $610 S29 + $418 M27 + $14.4 PGN + $476.6 Unsec). Parent guarantor of $425mm Credit Facility (borrower is OPI WF Borrower). Also limited (recourse-carve-out) guaranty of $177.3mm Non-Debtor CMBS Mortgages.</t>
        </is>
      </c>
      <c r="G13" s="28" t="inlineStr">
        <is>
          <t>Receivable from property-owning subs for fees/expenses paid on their behalf; payable to GPIT for amounts transferred to fund payables (decl. ¶95).</t>
        </is>
      </c>
      <c r="H13" s="28" t="inlineStr">
        <is>
          <t>0 properties owned directly; the 117 Debtor properties sit at the property-owning subs below. Externally managed by RMR; Indep. Trustee Tim Pohl chairs OPI Special Committee.</t>
        </is>
      </c>
    </row>
    <row r="14" ht="18" customHeight="1">
      <c r="A14" s="29" t="inlineStr">
        <is>
          <t>B. Credit Facility Silo  ($425mm: $325mm RC + $100mm TL  •  S+3.50%  •  Jan 2027  •  19 properties)</t>
        </is>
      </c>
      <c r="B14" s="48" t="n"/>
      <c r="C14" s="48" t="n"/>
      <c r="D14" s="48" t="n"/>
      <c r="E14" s="48" t="n"/>
      <c r="F14" s="48" t="n"/>
      <c r="G14" s="48" t="n"/>
      <c r="H14" s="49" t="n"/>
    </row>
    <row r="15" ht="42" customHeight="1">
      <c r="A15" s="30" t="inlineStr">
        <is>
          <t>Credit Facility</t>
        </is>
      </c>
      <c r="B15" s="30" t="inlineStr">
        <is>
          <t>OPI WF Holdings LLC</t>
        </is>
      </c>
      <c r="C15" s="30" t="inlineStr">
        <is>
          <t>Debtor</t>
        </is>
      </c>
      <c r="D15" s="30" t="n">
        <v>0</v>
      </c>
      <c r="E15" s="30" t="inlineStr">
        <is>
          <t>—</t>
        </is>
      </c>
      <c r="F15" s="30" t="inlineStr">
        <is>
          <t>Guarantor + equity pledgor of Credit Facility (1L). Also 2L guarantor + 2L equity pledgor for Sept 2029 Notes ($610mm).</t>
        </is>
      </c>
      <c r="G15" s="30" t="inlineStr">
        <is>
          <t>None direct (holdco).</t>
        </is>
      </c>
      <c r="H15" s="30" t="inlineStr">
        <is>
          <t>Pure holdco above WF Borrower.</t>
        </is>
      </c>
    </row>
    <row r="16" ht="42" customHeight="1">
      <c r="A16" s="30" t="inlineStr">
        <is>
          <t>Credit Facility</t>
        </is>
      </c>
      <c r="B16" s="30" t="inlineStr">
        <is>
          <t>OPI WF Borrower LLC</t>
        </is>
      </c>
      <c r="C16" s="30" t="inlineStr">
        <is>
          <t>Debtor</t>
        </is>
      </c>
      <c r="D16" s="30" t="n">
        <v>0</v>
      </c>
      <c r="E16" s="30" t="n">
        <v>425</v>
      </c>
      <c r="F16" s="30" t="inlineStr">
        <is>
          <t>Borrower under Credit Facility (jointly with OPI). Also 2L pledgor for Sept 2029 Notes.</t>
        </is>
      </c>
      <c r="G16" s="30" t="inlineStr">
        <is>
          <t>None direct.</t>
        </is>
      </c>
      <c r="H16" s="30" t="inlineStr">
        <is>
          <t>Borrower entity in WF chain.</t>
        </is>
      </c>
    </row>
    <row r="17" ht="42" customHeight="1">
      <c r="A17" s="30" t="inlineStr">
        <is>
          <t>Credit Facility</t>
        </is>
      </c>
      <c r="B17" s="30" t="inlineStr">
        <is>
          <t>OPI WF Owner LLC</t>
        </is>
      </c>
      <c r="C17" s="30" t="inlineStr">
        <is>
          <t>Debtor</t>
        </is>
      </c>
      <c r="D17" s="30" t="n">
        <v>0</v>
      </c>
      <c r="E17" s="30" t="inlineStr">
        <is>
          <t>—</t>
        </is>
      </c>
      <c r="F17" s="30" t="inlineStr">
        <is>
          <t>Pledged Subsidiary + guarantor of Credit Facility (1L). Also 2L pledgor + 2L guarantor for Sept 2029 Notes.</t>
        </is>
      </c>
      <c r="G17" s="30" t="inlineStr">
        <is>
          <t>One of the Reimbursing Entities — receivable from RMR (historically); receivable from underlying property-owning subs (decl. ¶45).</t>
        </is>
      </c>
      <c r="H17" s="30" t="inlineStr">
        <is>
          <t>Holds equity in 440 First Street LLC and other WF property subs.</t>
        </is>
      </c>
    </row>
    <row r="18" ht="42" customHeight="1">
      <c r="A18" s="30" t="inlineStr">
        <is>
          <t>Credit Facility</t>
        </is>
      </c>
      <c r="B18" s="30" t="inlineStr">
        <is>
          <t>440 First Street LLC + other Credit Agreement Pledged Subs (own 19 properties)</t>
        </is>
      </c>
      <c r="C18" s="30" t="inlineStr">
        <is>
          <t>Debtor</t>
        </is>
      </c>
      <c r="D18" s="30" t="n">
        <v>19</v>
      </c>
      <c r="E18" s="30" t="inlineStr">
        <is>
          <t>—</t>
        </is>
      </c>
      <c r="F18" s="30" t="inlineStr">
        <is>
          <t>Pledged Subsidiaries — joint &amp; several 1L guarantors of Credit Facility. Also 2L guarantors of Sept 2029 Notes (and 2L mortgage liens on these 19 properties run to Sept 2029 holders).</t>
        </is>
      </c>
      <c r="G18" s="30" t="inlineStr">
        <is>
          <t>440 First Street is also a Reimbursing Entity (receivable from RMR / property subs). Standard intercompany cash-mgmt receivables/payables.</t>
        </is>
      </c>
      <c r="H18" s="30" t="inlineStr">
        <is>
          <t>Self-contained cash management — no new postpetition operating account opened (DACAs in favor of RC agent).</t>
        </is>
      </c>
    </row>
    <row r="19" ht="18" customHeight="1">
      <c r="A19" s="31" t="inlineStr">
        <is>
          <t>C. March 2029 Notes Silo  ($300mm  •  9.000%  •  Mar 2029  •  17 properties  •  5 Sub Guarantors)</t>
        </is>
      </c>
      <c r="B19" s="48" t="n"/>
      <c r="C19" s="48" t="n"/>
      <c r="D19" s="48" t="n"/>
      <c r="E19" s="48" t="n"/>
      <c r="F19" s="48" t="n"/>
      <c r="G19" s="48" t="n"/>
      <c r="H19" s="49" t="n"/>
    </row>
    <row r="20" ht="42" customHeight="1">
      <c r="A20" s="32" t="inlineStr">
        <is>
          <t>March 2029 Notes</t>
        </is>
      </c>
      <c r="B20" s="32" t="inlineStr">
        <is>
          <t>OPI (issuer) — see Box A</t>
        </is>
      </c>
      <c r="C20" s="32" t="inlineStr">
        <is>
          <t>Debtor</t>
        </is>
      </c>
      <c r="D20" s="32" t="n">
        <v>0</v>
      </c>
      <c r="E20" s="32" t="inlineStr">
        <is>
          <t>(at OPI)</t>
        </is>
      </c>
      <c r="F20" s="32" t="inlineStr">
        <is>
          <t>— issued at OPI; secured by equity pledges of and 1L mortgages owned by 5 Sub Guarantors.</t>
        </is>
      </c>
      <c r="G20" s="32" t="inlineStr">
        <is>
          <t>—</t>
        </is>
      </c>
      <c r="H20" s="32" t="inlineStr">
        <is>
          <t>Advisors: Paul Weiss, Ducera.</t>
        </is>
      </c>
    </row>
    <row r="21" ht="42" customHeight="1">
      <c r="A21" s="32" t="inlineStr">
        <is>
          <t>March 2029 Notes</t>
        </is>
      </c>
      <c r="B21" s="32" t="inlineStr">
        <is>
          <t>5 March 2029 Notes Subsidiary Guarantors (own 17 properties)</t>
        </is>
      </c>
      <c r="C21" s="32" t="inlineStr">
        <is>
          <t>Debtor</t>
        </is>
      </c>
      <c r="D21" s="32" t="n">
        <v>17</v>
      </c>
      <c r="E21" s="32" t="inlineStr">
        <is>
          <t>—</t>
        </is>
      </c>
      <c r="F21" s="32" t="inlineStr">
        <is>
          <t>Joint &amp; several 1L guarantors of March 2029 Notes; equity pledged + 1L mortgages on the 17 properties they own.</t>
        </is>
      </c>
      <c r="G21" s="32" t="inlineStr">
        <is>
          <t>Standard cash-mgmt receivables/payables to/from GPIT and OPI.</t>
        </is>
      </c>
      <c r="H21" s="32" t="inlineStr">
        <is>
          <t>New postpetition operating account opened in favor of March 2029 Notes.</t>
        </is>
      </c>
    </row>
    <row r="22" ht="18" customHeight="1">
      <c r="A22" s="33" t="inlineStr">
        <is>
          <t>D. September 2029 Notes Silo  ($610mm  •  9.000%  •  Sep 2029  •  19 properties  •  9 Sub Guarantors)</t>
        </is>
      </c>
      <c r="B22" s="48" t="n"/>
      <c r="C22" s="48" t="n"/>
      <c r="D22" s="48" t="n"/>
      <c r="E22" s="48" t="n"/>
      <c r="F22" s="48" t="n"/>
      <c r="G22" s="48" t="n"/>
      <c r="H22" s="49" t="n"/>
    </row>
    <row r="23" ht="42" customHeight="1">
      <c r="A23" s="34" t="inlineStr">
        <is>
          <t>September 2029 Notes</t>
        </is>
      </c>
      <c r="B23" s="34" t="inlineStr">
        <is>
          <t>OPI (issuer) — see Box A</t>
        </is>
      </c>
      <c r="C23" s="34" t="inlineStr">
        <is>
          <t>Debtor</t>
        </is>
      </c>
      <c r="D23" s="34" t="n">
        <v>0</v>
      </c>
      <c r="E23" s="34" t="inlineStr">
        <is>
          <t>(at OPI)</t>
        </is>
      </c>
      <c r="F23" s="34" t="inlineStr">
        <is>
          <t>Issued at OPI; secured 1L by equity pledges and mortgages of 9 Sub Guarantors. Also benefits from 2L pledge over Credit Agreement Pledged Subs and 2L mortgages on the 19 Credit Facility properties.</t>
        </is>
      </c>
      <c r="G23" s="34" t="inlineStr">
        <is>
          <t>—</t>
        </is>
      </c>
      <c r="H23" s="34" t="inlineStr">
        <is>
          <t>Advisors: White &amp; Case, Houlihan Lokey. Independent Director: Patrick Bartels (subsidiary boards).</t>
        </is>
      </c>
    </row>
    <row r="24" ht="42" customHeight="1">
      <c r="A24" s="34" t="inlineStr">
        <is>
          <t>September 2029 Notes</t>
        </is>
      </c>
      <c r="B24" s="34" t="inlineStr">
        <is>
          <t>9 September 2029 Notes Subsidiary Guarantors (own 19 properties)</t>
        </is>
      </c>
      <c r="C24" s="34" t="inlineStr">
        <is>
          <t>Debtor</t>
        </is>
      </c>
      <c r="D24" s="34" t="n">
        <v>19</v>
      </c>
      <c r="E24" s="34" t="inlineStr">
        <is>
          <t>—</t>
        </is>
      </c>
      <c r="F24" s="34" t="inlineStr">
        <is>
          <t>Joint &amp; several 1L guarantors; equity pledged + 1L mortgages on the 19 properties they own. Equity also pledged on 2L (junior) basis to March 2027 Notes ($418mm), and 2L mortgage liens on these 19 properties run to March 2027 holders.</t>
        </is>
      </c>
      <c r="G24" s="34" t="inlineStr">
        <is>
          <t>Standard cash-mgmt receivables/payables; new postpetition operating account in favor of Sept 2029 Notes.</t>
        </is>
      </c>
      <c r="H24" s="34" t="inlineStr">
        <is>
          <t>Pledged subs at Sept 2029 silo appointed Patrick Bartels as independent director / sole member of subsidiary special committee.</t>
        </is>
      </c>
    </row>
    <row r="25" ht="18" customHeight="1">
      <c r="A25" s="35" t="inlineStr">
        <is>
          <t>E. March 2027 Notes Silo  ($418mm  •  3.250%  •  Mar 2027  •  35 properties  •  19 Sub Guarantors + 31 unsecured guarantor subs)</t>
        </is>
      </c>
      <c r="B25" s="48" t="n"/>
      <c r="C25" s="48" t="n"/>
      <c r="D25" s="48" t="n"/>
      <c r="E25" s="48" t="n"/>
      <c r="F25" s="48" t="n"/>
      <c r="G25" s="48" t="n"/>
      <c r="H25" s="49" t="n"/>
    </row>
    <row r="26" ht="42" customHeight="1">
      <c r="A26" s="36" t="inlineStr">
        <is>
          <t>March 2027 Notes</t>
        </is>
      </c>
      <c r="B26" s="36" t="inlineStr">
        <is>
          <t>OPI (issuer) — see Box A</t>
        </is>
      </c>
      <c r="C26" s="36" t="inlineStr">
        <is>
          <t>Debtor</t>
        </is>
      </c>
      <c r="D26" s="36" t="n">
        <v>0</v>
      </c>
      <c r="E26" s="36" t="inlineStr">
        <is>
          <t>(at OPI)</t>
        </is>
      </c>
      <c r="F26" s="36" t="inlineStr">
        <is>
          <t>Issued at OPI; secured 1L by equity pledges and 1L mortgages of 19 Sub Guarantors. 2L on Sept 2029 Notes equity / 19 properties (junior). Unsecured guarantees from 31 other Debtor subs.</t>
        </is>
      </c>
      <c r="G26" s="36" t="inlineStr">
        <is>
          <t>—</t>
        </is>
      </c>
      <c r="H26" s="36" t="inlineStr">
        <is>
          <t>Advisors: Milbank, Evercore. Independent Director: Jill Frizzley (subsidiary boards).</t>
        </is>
      </c>
    </row>
    <row r="27" ht="42" customHeight="1">
      <c r="A27" s="36" t="inlineStr">
        <is>
          <t>March 2027 Notes</t>
        </is>
      </c>
      <c r="B27" s="36" t="inlineStr">
        <is>
          <t>19 March 2027 Notes Subsidiary Guarantors (own 35 properties)</t>
        </is>
      </c>
      <c r="C27" s="36" t="inlineStr">
        <is>
          <t>Debtor</t>
        </is>
      </c>
      <c r="D27" s="36" t="n">
        <v>35</v>
      </c>
      <c r="E27" s="36" t="inlineStr">
        <is>
          <t>—</t>
        </is>
      </c>
      <c r="F27" s="36" t="inlineStr">
        <is>
          <t>Joint &amp; several 1L guarantors; equity pledged + 1L mortgages on 35 properties they own.</t>
        </is>
      </c>
      <c r="G27" s="36" t="inlineStr">
        <is>
          <t>Cash-mgmt: GPIT Concentration Account historically swept rents from these subs (¶95).</t>
        </is>
      </c>
      <c r="H27" s="36" t="inlineStr">
        <is>
          <t>GPIT (the cash hub) is one of these obligors — see Box J.</t>
        </is>
      </c>
    </row>
    <row r="28" ht="42" customHeight="1">
      <c r="A28" s="36" t="inlineStr">
        <is>
          <t>March 2027 Notes</t>
        </is>
      </c>
      <c r="B28" s="36" t="inlineStr">
        <is>
          <t>31 additional Debtor subs — UNSECURED guarantors of M27 Notes (overlap w/ Priority Guaranteed Notes)</t>
        </is>
      </c>
      <c r="C28" s="36" t="inlineStr">
        <is>
          <t>Debtor</t>
        </is>
      </c>
      <c r="D28" s="36" t="inlineStr">
        <is>
          <t>—</t>
        </is>
      </c>
      <c r="E28" s="36" t="inlineStr">
        <is>
          <t>—</t>
        </is>
      </c>
      <c r="F28" s="36" t="inlineStr">
        <is>
          <t>Unsecured (joint &amp; several) guarantees of $418mm March 2027 Notes AND $14.4mm Priority Guaranteed Notes. Includes the holdcos of 5 of the 7 Non-Debtor Mortgage properties.</t>
        </is>
      </c>
      <c r="G28" s="36" t="inlineStr">
        <is>
          <t>Holdco-level — typically no operations/cash; rely on dividends / distributions.</t>
        </is>
      </c>
      <c r="H28" s="36" t="inlineStr">
        <is>
          <t>Pledged subs at M27 silo appointed Jill Frizzley as independent director.</t>
        </is>
      </c>
    </row>
    <row r="29" ht="18" customHeight="1">
      <c r="A29" s="37" t="inlineStr">
        <is>
          <t>F. Priority Guaranteed Notes / Unencumbered Properties  ($14.4mm PGN  •  8.000%  •  Jan 2030  •  25 unencumbered properties)</t>
        </is>
      </c>
      <c r="B29" s="48" t="n"/>
      <c r="C29" s="48" t="n"/>
      <c r="D29" s="48" t="n"/>
      <c r="E29" s="48" t="n"/>
      <c r="F29" s="48" t="n"/>
      <c r="G29" s="48" t="n"/>
      <c r="H29" s="49" t="n"/>
    </row>
    <row r="30" ht="42" customHeight="1">
      <c r="A30" s="38" t="inlineStr">
        <is>
          <t>Priority Guaranteed</t>
        </is>
      </c>
      <c r="B30" s="38" t="inlineStr">
        <is>
          <t>OPI (issuer) — see Box A</t>
        </is>
      </c>
      <c r="C30" s="38" t="inlineStr">
        <is>
          <t>Debtor</t>
        </is>
      </c>
      <c r="D30" s="38" t="n">
        <v>0</v>
      </c>
      <c r="E30" s="38" t="inlineStr">
        <is>
          <t>(at OPI)</t>
        </is>
      </c>
      <c r="F30" s="38" t="inlineStr">
        <is>
          <t>Unsecured PGN issued at OPI; benefits from 31-Debtor-sub unsecured guarantee package (same set as M27 unsecured guarantee).</t>
        </is>
      </c>
      <c r="G30" s="38" t="inlineStr">
        <is>
          <t>—</t>
        </is>
      </c>
      <c r="H30" s="38" t="inlineStr">
        <is>
          <t>Advisors: Glenn Agre, Province (Unsecured Ad Hoc Group).</t>
        </is>
      </c>
    </row>
    <row r="31" ht="42" customHeight="1">
      <c r="A31" s="38" t="inlineStr">
        <is>
          <t>Unencumbered</t>
        </is>
      </c>
      <c r="B31" s="38" t="inlineStr">
        <is>
          <t>25 Unencumbered Property-Owning Debtor Subs</t>
        </is>
      </c>
      <c r="C31" s="38" t="inlineStr">
        <is>
          <t>Debtor</t>
        </is>
      </c>
      <c r="D31" s="38" t="n">
        <v>25</v>
      </c>
      <c r="E31" s="38" t="inlineStr">
        <is>
          <t>—</t>
        </is>
      </c>
      <c r="F31" s="38" t="inlineStr">
        <is>
          <t>Among the 31 unsecured guarantors of the PGN and March 2027 Notes (the unsecured guarantee package).</t>
        </is>
      </c>
      <c r="G31" s="38" t="inlineStr">
        <is>
          <t>Tenant Receipts swept up to GPIT Concentration Account; receivables from RMR for vendor expenses paid on their behalf.</t>
        </is>
      </c>
      <c r="H31" s="38" t="inlineStr">
        <is>
          <t>New postpetition operating account opened in favor of Unencumbered Properties.</t>
        </is>
      </c>
    </row>
    <row r="32" ht="18" customHeight="1">
      <c r="A32" s="39" t="inlineStr">
        <is>
          <t>G. Other Senior Unsecured Notes  ($476.6mm — 2026 / 2027 / 2031 / 2050 Senior Notes; structurally subordinated)</t>
        </is>
      </c>
      <c r="B32" s="48" t="n"/>
      <c r="C32" s="48" t="n"/>
      <c r="D32" s="48" t="n"/>
      <c r="E32" s="48" t="n"/>
      <c r="F32" s="48" t="n"/>
      <c r="G32" s="48" t="n"/>
      <c r="H32" s="49" t="n"/>
    </row>
    <row r="33" ht="42" customHeight="1">
      <c r="A33" s="40" t="inlineStr">
        <is>
          <t>Senior Unsecured</t>
        </is>
      </c>
      <c r="B33" s="40" t="inlineStr">
        <is>
          <t>OPI (issuer only — no subsidiary guarantee)</t>
        </is>
      </c>
      <c r="C33" s="40" t="inlineStr">
        <is>
          <t>Debtor</t>
        </is>
      </c>
      <c r="D33" s="40" t="n">
        <v>0</v>
      </c>
      <c r="E33" s="40" t="inlineStr">
        <is>
          <t>(at OPI — incl. in $1,819mm)</t>
        </is>
      </c>
      <c r="F33" s="40" t="inlineStr">
        <is>
          <t>$476.6mm: $133.9 / $78.3 / $102.4 / $162.0mm of 2026/2027/2031/2050 notes. NO subsidiary guarantees — holders are structurally subordinated to ALL secured-silo Sub Guarantors AND to the 31 PGN/M27 unsecured guarantors.</t>
        </is>
      </c>
      <c r="G33" s="40" t="inlineStr">
        <is>
          <t>—</t>
        </is>
      </c>
      <c r="H33" s="40" t="inlineStr">
        <is>
          <t>Issuer-only debt. Structural subordination is the key feature for recovery analysis.</t>
        </is>
      </c>
    </row>
    <row r="34" ht="18" customHeight="1">
      <c r="A34" s="41" t="inlineStr">
        <is>
          <t>H. Non-Debtor CMBS Mortgages  ($177.3mm  •  7.79%  •  2028–2033  •  7 properties)</t>
        </is>
      </c>
      <c r="B34" s="48" t="n"/>
      <c r="C34" s="48" t="n"/>
      <c r="D34" s="48" t="n"/>
      <c r="E34" s="48" t="n"/>
      <c r="F34" s="48" t="n"/>
      <c r="G34" s="48" t="n"/>
      <c r="H34" s="49" t="n"/>
    </row>
    <row r="35" ht="42" customHeight="1">
      <c r="A35" s="42" t="inlineStr">
        <is>
          <t>Non-Debtor CMBS</t>
        </is>
      </c>
      <c r="B35" s="42" t="inlineStr">
        <is>
          <t>UBS Borrowers — Clay Ave Waco LLC; Primerica Pkwy GA LLC</t>
        </is>
      </c>
      <c r="C35" s="42" t="inlineStr">
        <is>
          <t>Non-Debtor</t>
        </is>
      </c>
      <c r="D35" s="42" t="n">
        <v>2</v>
      </c>
      <c r="E35" s="42" t="n">
        <v>54.3</v>
      </c>
      <c r="F35" s="42" t="inlineStr">
        <is>
          <t>Non-recourse SPE borrowers (UBS Loan, 9/13/2023). NOT guaranteed by Debtors except OPI limited (carve-out) guaranty.</t>
        </is>
      </c>
      <c r="G35" s="42" t="inlineStr">
        <is>
          <t>Cash trapped at SPE level; subject to special-servicer DACAs. No sweep up to GPIT.</t>
        </is>
      </c>
      <c r="H35" s="42" t="inlineStr">
        <is>
          <t>OPI bankruptcy may trigger non-recourse default — Debtors negotiating waivers (¶55, ¶101).</t>
        </is>
      </c>
    </row>
    <row r="36" ht="42" customHeight="1">
      <c r="A36" s="42" t="inlineStr">
        <is>
          <t>Non-Debtor CMBS</t>
        </is>
      </c>
      <c r="B36" s="42" t="inlineStr">
        <is>
          <t>JPM Borrowers — 3300 75th Avenue LLC; Echelon Pkwy MS LLC; Rio Robles CA LLC; Sterling Park LLC; Ewing Boulevard LLC</t>
        </is>
      </c>
      <c r="C36" s="42" t="inlineStr">
        <is>
          <t>Non-Debtor</t>
        </is>
      </c>
      <c r="D36" s="42" t="n">
        <v>5</v>
      </c>
      <c r="E36" s="42" t="n">
        <v>123</v>
      </c>
      <c r="F36" s="42" t="inlineStr">
        <is>
          <t>Non-recourse SPE borrowers (separate JPM loan agreements, May–Aug 2023). Non-recourse to Debtors except OPI limited guaranty. Loans securitized into CMBS.</t>
        </is>
      </c>
      <c r="G36" s="42" t="inlineStr">
        <is>
          <t>Cash trapped at SPE; subject to special-servicer DACAs.</t>
        </is>
      </c>
      <c r="H36" s="42" t="inlineStr">
        <is>
          <t>JPM loan amounts: $14.9 / $30.7 / $8.4 / $26.3 / $42.7mm (Echelon / 3300 75th / Rio Robles / Sterling / Ewing).</t>
        </is>
      </c>
    </row>
    <row r="37" ht="42" customHeight="1">
      <c r="A37" s="42" t="inlineStr">
        <is>
          <t>Non-Debtor CMBS</t>
        </is>
      </c>
      <c r="B37" s="42" t="inlineStr">
        <is>
          <t>Holdcos: Clay Holdco LLC; Ewing Holdco LLC; Primerica Holdco LLC</t>
        </is>
      </c>
      <c r="C37" s="42" t="inlineStr">
        <is>
          <t>Non-Debtor</t>
        </is>
      </c>
      <c r="D37" s="42" t="n">
        <v>0</v>
      </c>
      <c r="E37" s="42" t="inlineStr">
        <is>
          <t>—</t>
        </is>
      </c>
      <c r="F37" s="42" t="inlineStr">
        <is>
          <t>Non-Debtor intermediate holdcos sitting between OPI / Debtor parent and the 3 Non-Debtor property SPEs (per Exhibit B-1).</t>
        </is>
      </c>
      <c r="G37" s="42" t="inlineStr">
        <is>
          <t>—</t>
        </is>
      </c>
      <c r="H37" s="42" t="inlineStr">
        <is>
          <t>Holdcos for 5 of 7 mortgage properties guarantee M27 + PGN on UNSECURED basis at the DEBTOR holdco level (not these non-debtor holdcos).</t>
        </is>
      </c>
    </row>
    <row r="38" ht="18" customHeight="1">
      <c r="A38" s="43" t="inlineStr">
        <is>
          <t>I. Non-Debtor Joint Venture  (51% unconsolidated  •  2 properties)</t>
        </is>
      </c>
      <c r="B38" s="48" t="n"/>
      <c r="C38" s="48" t="n"/>
      <c r="D38" s="48" t="n"/>
      <c r="E38" s="48" t="n"/>
      <c r="F38" s="48" t="n"/>
      <c r="G38" s="48" t="n"/>
      <c r="H38" s="49" t="n"/>
    </row>
    <row r="39" ht="42" customHeight="1">
      <c r="A39" s="44" t="inlineStr">
        <is>
          <t>JV</t>
        </is>
      </c>
      <c r="B39" s="44" t="inlineStr">
        <is>
          <t>First Potomac DC Holdings, LLC (51% LLC interest)</t>
        </is>
      </c>
      <c r="C39" s="44" t="inlineStr">
        <is>
          <t>Non-Debtor</t>
        </is>
      </c>
      <c r="D39" s="44" t="n">
        <v>2</v>
      </c>
      <c r="E39" s="44" t="inlineStr">
        <is>
          <t>—</t>
        </is>
      </c>
      <c r="F39" s="44" t="inlineStr">
        <is>
          <t>Owns 2 properties via the JV. Equity interest (51%) held by a Debtor entity, but JV itself sits outside the bankruptcy and is unconsolidated.</t>
        </is>
      </c>
      <c r="G39" s="44" t="inlineStr">
        <is>
          <t>Limited — distributions only.</t>
        </is>
      </c>
      <c r="H39" s="44" t="inlineStr">
        <is>
          <t>Reflects FPO acquisition legacy; OPI is managing member with 51% interest.</t>
        </is>
      </c>
    </row>
    <row r="40" ht="18" customHeight="1">
      <c r="A40" s="45" t="inlineStr">
        <is>
          <t>J. Cash Management / Intercompany Hubs (within Debtors)</t>
        </is>
      </c>
      <c r="B40" s="48" t="n"/>
      <c r="C40" s="48" t="n"/>
      <c r="D40" s="48" t="n"/>
      <c r="E40" s="48" t="n"/>
      <c r="F40" s="48" t="n"/>
      <c r="G40" s="48" t="n"/>
      <c r="H40" s="49" t="n"/>
    </row>
    <row r="41" ht="42" customHeight="1">
      <c r="A41" s="46" t="inlineStr">
        <is>
          <t>Cash Mgmt Hub</t>
        </is>
      </c>
      <c r="B41" s="46" t="inlineStr">
        <is>
          <t>Government Properties Income Trust LLC (GPIT) — owns 20 Mass Ave / Royal Sonesta Capitol Hill</t>
        </is>
      </c>
      <c r="C41" s="46" t="inlineStr">
        <is>
          <t>Debtor</t>
        </is>
      </c>
      <c r="D41" s="46" t="n">
        <v>1</v>
      </c>
      <c r="E41" s="46" t="inlineStr">
        <is>
          <t>—</t>
        </is>
      </c>
      <c r="F41" s="46" t="inlineStr">
        <is>
          <t>Among the 19 March 2027 Notes Sub Guarantors AND in the 31-sub PGN/M27 unsecured guarantee package.</t>
        </is>
      </c>
      <c r="G41" s="46" t="inlineStr">
        <is>
          <t>(a) GPIT owes property-owning subs for Tenant Receipts collected via GPIT Concentration Account; (b) Property-owning subs owe GPIT/OPI for fees &amp; expenses GPIT/OPI paid on their behalf; (c) OPI owes GPIT for amounts transferred to fund payables (¶95).</t>
        </is>
      </c>
      <c r="H41" s="46" t="inlineStr">
        <is>
          <t>Hotel leased to Debtor 20 Mass Ave TRS Inc (taxable REIT sub); TRS engages Sonesta DC Hotel LLC as manager.</t>
        </is>
      </c>
    </row>
    <row r="42" ht="42" customHeight="1">
      <c r="A42" s="46" t="inlineStr">
        <is>
          <t>Cash Mgmt Hub</t>
        </is>
      </c>
      <c r="B42" s="46" t="inlineStr">
        <is>
          <t>20 Mass Ave TRS Inc.</t>
        </is>
      </c>
      <c r="C42" s="46" t="inlineStr">
        <is>
          <t>Debtor</t>
        </is>
      </c>
      <c r="D42" s="46" t="n">
        <v>0</v>
      </c>
      <c r="E42" s="46" t="inlineStr">
        <is>
          <t>—</t>
        </is>
      </c>
      <c r="F42" s="46" t="inlineStr">
        <is>
          <t>No funded debt; lessee from GPIT under hotel lease.</t>
        </is>
      </c>
      <c r="G42" s="46" t="inlineStr">
        <is>
          <t>Lease payable to GPIT; net of operating expenses. Sonesta reimbursable for hotel opex.</t>
        </is>
      </c>
      <c r="H42" s="46" t="inlineStr">
        <is>
          <t>Taxable REIT subsidiary — required by Code so REIT does not run hotel operations directly.</t>
        </is>
      </c>
    </row>
    <row r="43" ht="42" customHeight="1">
      <c r="A43" s="46" t="inlineStr">
        <is>
          <t>Cash Mgmt Hub</t>
        </is>
      </c>
      <c r="B43" s="46" t="inlineStr">
        <is>
          <t>Postpetition operating-account holders: GPIT, OPI Notex Properties LLC, OPI BND Properties LLC, OPI 25 Exchange LLC, SIR Colorado Springs LLC</t>
        </is>
      </c>
      <c r="C43" s="46" t="inlineStr">
        <is>
          <t>Debtor</t>
        </is>
      </c>
      <c r="D43" s="46" t="n">
        <v>0</v>
      </c>
      <c r="E43" s="46" t="inlineStr">
        <is>
          <t>—</t>
        </is>
      </c>
      <c r="F43" s="46" t="inlineStr">
        <is>
          <t>Each holds a postpetition operating account dedicated to a silo (or unencumbered pool). Generates new post-petition intercompany claims.</t>
        </is>
      </c>
      <c r="G43" s="46" t="inlineStr">
        <is>
          <t>Postpetition cash consolidation pools tenant receipts in each silo — generates intercompany claims among these 5 entities + OPI (¶96).</t>
        </is>
      </c>
      <c r="H43" s="46" t="inlineStr">
        <is>
          <t>Credit Facility silo skipped — its cash mgmt is self-contained with DACAs to RC agent.</t>
        </is>
      </c>
    </row>
    <row r="45">
      <c r="A45" s="22" t="inlineStr">
        <is>
          <t>Guarantor Cross-Matrix — Which Boxes Guarantee Debt Issued at Other Boxes</t>
        </is>
      </c>
      <c r="B45" s="48" t="n"/>
      <c r="C45" s="48" t="n"/>
      <c r="D45" s="48" t="n"/>
      <c r="E45" s="48" t="n"/>
      <c r="F45" s="48" t="n"/>
      <c r="G45" s="48" t="n"/>
      <c r="H45" s="49" t="n"/>
    </row>
    <row r="46" ht="42" customHeight="1">
      <c r="A46" s="26" t="inlineStr">
        <is>
          <t>Debt Tranche (issued at →)</t>
        </is>
      </c>
      <c r="B46" s="26" t="inlineStr">
        <is>
          <t>OPI (issuer)</t>
        </is>
      </c>
      <c r="C46" s="26" t="inlineStr">
        <is>
          <t>Credit Facility Pledged Subs</t>
        </is>
      </c>
      <c r="D46" s="26" t="inlineStr">
        <is>
          <t>March 2029 Sub Guarantors (5)</t>
        </is>
      </c>
      <c r="E46" s="26" t="inlineStr">
        <is>
          <t>September 2029 Sub Guarantors (9)</t>
        </is>
      </c>
      <c r="F46" s="26" t="inlineStr">
        <is>
          <t>March 2027 Sub Guarantors (19)</t>
        </is>
      </c>
      <c r="G46" s="26" t="inlineStr">
        <is>
          <t>PGN/M27 Unsecured Guarantor Subs (31)</t>
        </is>
      </c>
      <c r="H46" s="26" t="inlineStr">
        <is>
          <t>Non-Debtor CMBS SPEs (7)</t>
        </is>
      </c>
    </row>
    <row r="47" ht="38" customHeight="1">
      <c r="A47" s="25" t="inlineStr">
        <is>
          <t>Credit Facility ($425mm)</t>
        </is>
      </c>
      <c r="B47" s="25" t="inlineStr">
        <is>
          <t>Borrower (jt w/ WF Borrower)</t>
        </is>
      </c>
      <c r="C47" s="25" t="inlineStr">
        <is>
          <t>1L gtee + 1L equity pledge</t>
        </is>
      </c>
      <c r="D47" s="25" t="inlineStr">
        <is>
          <t>—</t>
        </is>
      </c>
      <c r="E47" s="25" t="inlineStr">
        <is>
          <t>—</t>
        </is>
      </c>
      <c r="F47" s="25" t="inlineStr">
        <is>
          <t>—</t>
        </is>
      </c>
      <c r="G47" s="25" t="inlineStr">
        <is>
          <t>—</t>
        </is>
      </c>
      <c r="H47" s="25" t="inlineStr">
        <is>
          <t>—</t>
        </is>
      </c>
    </row>
    <row r="48" ht="38" customHeight="1">
      <c r="A48" s="25" t="inlineStr">
        <is>
          <t>March 2029 Notes ($300mm)</t>
        </is>
      </c>
      <c r="B48" s="25" t="inlineStr">
        <is>
          <t>Issuer</t>
        </is>
      </c>
      <c r="C48" s="25" t="inlineStr">
        <is>
          <t>—</t>
        </is>
      </c>
      <c r="D48" s="25" t="inlineStr">
        <is>
          <t>1L gtee + 1L equity pledge + 1L mortgages on 17 props</t>
        </is>
      </c>
      <c r="E48" s="25" t="inlineStr">
        <is>
          <t>—</t>
        </is>
      </c>
      <c r="F48" s="25" t="inlineStr">
        <is>
          <t>—</t>
        </is>
      </c>
      <c r="G48" s="25" t="inlineStr">
        <is>
          <t>—</t>
        </is>
      </c>
      <c r="H48" s="25" t="inlineStr">
        <is>
          <t>—</t>
        </is>
      </c>
    </row>
    <row r="49" ht="38" customHeight="1">
      <c r="A49" s="25" t="inlineStr">
        <is>
          <t>September 2029 Notes ($610mm)</t>
        </is>
      </c>
      <c r="B49" s="25" t="inlineStr">
        <is>
          <t>Issuer</t>
        </is>
      </c>
      <c r="C49" s="25" t="inlineStr">
        <is>
          <t>2L gtee + 2L equity pledge + 2L mortgages on 19 RC props</t>
        </is>
      </c>
      <c r="D49" s="25" t="inlineStr">
        <is>
          <t>—</t>
        </is>
      </c>
      <c r="E49" s="25" t="inlineStr">
        <is>
          <t>1L gtee + 1L equity pledge + 1L mortgages on 19 props</t>
        </is>
      </c>
      <c r="F49" s="25" t="inlineStr">
        <is>
          <t>—</t>
        </is>
      </c>
      <c r="G49" s="25" t="inlineStr">
        <is>
          <t>—</t>
        </is>
      </c>
      <c r="H49" s="25" t="inlineStr">
        <is>
          <t>—</t>
        </is>
      </c>
    </row>
    <row r="50" ht="38" customHeight="1">
      <c r="A50" s="25" t="inlineStr">
        <is>
          <t>March 2027 Notes ($418mm)</t>
        </is>
      </c>
      <c r="B50" s="25" t="inlineStr">
        <is>
          <t>Issuer</t>
        </is>
      </c>
      <c r="C50" s="25" t="inlineStr">
        <is>
          <t>—</t>
        </is>
      </c>
      <c r="D50" s="25" t="inlineStr">
        <is>
          <t>—</t>
        </is>
      </c>
      <c r="E50" s="25" t="inlineStr">
        <is>
          <t>2L gtee + 2L equity pledge + 2L mortgages (junior)</t>
        </is>
      </c>
      <c r="F50" s="25" t="inlineStr">
        <is>
          <t>1L gtee + 1L equity pledge + 1L mortgages on 35 props</t>
        </is>
      </c>
      <c r="G50" s="25" t="inlineStr">
        <is>
          <t>Unsecured gtee (joint &amp; several)</t>
        </is>
      </c>
      <c r="H50" s="25" t="inlineStr">
        <is>
          <t>—</t>
        </is>
      </c>
    </row>
    <row r="51" ht="38" customHeight="1">
      <c r="A51" s="25" t="inlineStr">
        <is>
          <t>Priority Guaranteed Notes ($14.4mm)</t>
        </is>
      </c>
      <c r="B51" s="25" t="inlineStr">
        <is>
          <t>Issuer</t>
        </is>
      </c>
      <c r="C51" s="25" t="inlineStr">
        <is>
          <t>—</t>
        </is>
      </c>
      <c r="D51" s="25" t="inlineStr">
        <is>
          <t>—</t>
        </is>
      </c>
      <c r="E51" s="25" t="inlineStr">
        <is>
          <t>—</t>
        </is>
      </c>
      <c r="F51" s="25" t="inlineStr">
        <is>
          <t>—</t>
        </is>
      </c>
      <c r="G51" s="25" t="inlineStr">
        <is>
          <t>Unsecured gtee (joint &amp; several)</t>
        </is>
      </c>
      <c r="H51" s="25" t="inlineStr">
        <is>
          <t>—</t>
        </is>
      </c>
    </row>
    <row r="52" ht="38" customHeight="1">
      <c r="A52" s="25" t="inlineStr">
        <is>
          <t>Senior Unsecured Notes ($476.6mm)</t>
        </is>
      </c>
      <c r="B52" s="25" t="inlineStr">
        <is>
          <t>Issuer</t>
        </is>
      </c>
      <c r="C52" s="25" t="inlineStr">
        <is>
          <t>—</t>
        </is>
      </c>
      <c r="D52" s="25" t="inlineStr">
        <is>
          <t>—</t>
        </is>
      </c>
      <c r="E52" s="25" t="inlineStr">
        <is>
          <t>—</t>
        </is>
      </c>
      <c r="F52" s="25" t="inlineStr">
        <is>
          <t>—</t>
        </is>
      </c>
      <c r="G52" s="25" t="inlineStr">
        <is>
          <t>—</t>
        </is>
      </c>
      <c r="H52" s="25" t="inlineStr">
        <is>
          <t>—</t>
        </is>
      </c>
    </row>
    <row r="53" ht="38" customHeight="1">
      <c r="A53" s="25" t="inlineStr">
        <is>
          <t>Non-Debtor CMBS Mortgages ($177.3mm)</t>
        </is>
      </c>
      <c r="B53" s="25" t="inlineStr">
        <is>
          <t>Limited (recourse carve-out) guaranty</t>
        </is>
      </c>
      <c r="C53" s="25" t="inlineStr">
        <is>
          <t>—</t>
        </is>
      </c>
      <c r="D53" s="25" t="inlineStr">
        <is>
          <t>—</t>
        </is>
      </c>
      <c r="E53" s="25" t="inlineStr">
        <is>
          <t>—</t>
        </is>
      </c>
      <c r="F53" s="25" t="inlineStr">
        <is>
          <t>—</t>
        </is>
      </c>
      <c r="G53" s="25" t="inlineStr">
        <is>
          <t>—</t>
        </is>
      </c>
      <c r="H53" s="25" t="inlineStr">
        <is>
          <t>Non-recourse SPE borrowers</t>
        </is>
      </c>
    </row>
    <row r="55">
      <c r="A55" s="22" t="inlineStr">
        <is>
          <t>Intercompany Claims Across the Group</t>
        </is>
      </c>
      <c r="B55" s="48" t="n"/>
      <c r="C55" s="48" t="n"/>
      <c r="D55" s="48" t="n"/>
      <c r="E55" s="48" t="n"/>
      <c r="F55" s="48" t="n"/>
      <c r="G55" s="48" t="n"/>
      <c r="H55" s="49" t="n"/>
    </row>
    <row r="56" ht="30" customHeight="1">
      <c r="A56" s="26" t="inlineStr">
        <is>
          <t>#</t>
        </is>
      </c>
      <c r="B56" s="26" t="inlineStr">
        <is>
          <t>Claim Direction (Obligor → Obligee)</t>
        </is>
      </c>
      <c r="C56" s="26" t="inlineStr">
        <is>
          <t>Type</t>
        </is>
      </c>
      <c r="D56" s="26" t="inlineStr">
        <is>
          <t>Source / Driver</t>
        </is>
      </c>
      <c r="E56" s="26" t="inlineStr">
        <is>
          <t>Pre or Post-petition</t>
        </is>
      </c>
      <c r="F56" s="26" t="inlineStr">
        <is>
          <t>Notes</t>
        </is>
      </c>
      <c r="G56" s="26" t="inlineStr"/>
      <c r="H56" s="26" t="inlineStr"/>
    </row>
    <row r="57" ht="38" customHeight="1">
      <c r="A57" s="25" t="inlineStr">
        <is>
          <t>1</t>
        </is>
      </c>
      <c r="B57" s="25" t="inlineStr">
        <is>
          <t>GPIT  →  Property-owning Debtor subs</t>
        </is>
      </c>
      <c r="C57" s="25" t="inlineStr">
        <is>
          <t>Payable</t>
        </is>
      </c>
      <c r="D57" s="25" t="inlineStr">
        <is>
          <t>Tenant Receipts collected via GPIT Concentration Account on behalf of property subs</t>
        </is>
      </c>
      <c r="E57" s="25" t="inlineStr">
        <is>
          <t>Pre and post</t>
        </is>
      </c>
      <c r="F57" s="25" t="inlineStr">
        <is>
          <t>GPIT is the cash hub that receives rents</t>
        </is>
      </c>
      <c r="G57" s="25" t="inlineStr"/>
      <c r="H57" s="25" t="inlineStr"/>
    </row>
    <row r="58" ht="38" customHeight="1">
      <c r="A58" s="25" t="inlineStr">
        <is>
          <t>2</t>
        </is>
      </c>
      <c r="B58" s="25" t="inlineStr">
        <is>
          <t>Property-owning Debtor subs  →  GPIT / OPI</t>
        </is>
      </c>
      <c r="C58" s="25" t="inlineStr">
        <is>
          <t>Payable</t>
        </is>
      </c>
      <c r="D58" s="25" t="inlineStr">
        <is>
          <t>Third-party + RMR fees and expenses paid by GPIT/OPI on behalf of property subs</t>
        </is>
      </c>
      <c r="E58" s="25" t="inlineStr">
        <is>
          <t>Pre and post</t>
        </is>
      </c>
      <c r="F58" s="25" t="inlineStr">
        <is>
          <t>Daily course-of-business sweep</t>
        </is>
      </c>
      <c r="G58" s="25" t="inlineStr"/>
      <c r="H58" s="25" t="inlineStr"/>
    </row>
    <row r="59" ht="38" customHeight="1">
      <c r="A59" s="25" t="inlineStr">
        <is>
          <t>3</t>
        </is>
      </c>
      <c r="B59" s="25" t="inlineStr">
        <is>
          <t>OPI  →  GPIT</t>
        </is>
      </c>
      <c r="C59" s="25" t="inlineStr">
        <is>
          <t>Payable</t>
        </is>
      </c>
      <c r="D59" s="25" t="inlineStr">
        <is>
          <t>Amounts transferred to GPIT to fund accounts payable</t>
        </is>
      </c>
      <c r="E59" s="25" t="inlineStr">
        <is>
          <t>Pre and post</t>
        </is>
      </c>
      <c r="F59" s="25" t="inlineStr">
        <is>
          <t>¶95 of first-day declaration</t>
        </is>
      </c>
      <c r="G59" s="25" t="inlineStr"/>
      <c r="H59" s="25" t="inlineStr"/>
    </row>
    <row r="60" ht="38" customHeight="1">
      <c r="A60" s="25" t="inlineStr">
        <is>
          <t>4</t>
        </is>
      </c>
      <c r="B60" s="25" t="inlineStr">
        <is>
          <t>Property-owning Debtor subs  →  RMR (and Reimbursing Entities GPIT/OPI/WF Owner/440 First Street)</t>
        </is>
      </c>
      <c r="C60" s="25" t="inlineStr">
        <is>
          <t>Payable</t>
        </is>
      </c>
      <c r="D60" s="25" t="inlineStr">
        <is>
          <t>Vendor invoices historically paid by RMR; reimbursed by Reimbursing Entities</t>
        </is>
      </c>
      <c r="E60" s="25" t="inlineStr">
        <is>
          <t>Pre (changed July 2025)</t>
        </is>
      </c>
      <c r="F60" s="25" t="inlineStr">
        <is>
          <t>As of July 2025, OPI entities pay vendors directly — new IC claims between OPI and property-level entities (¶47)</t>
        </is>
      </c>
      <c r="G60" s="25" t="inlineStr"/>
      <c r="H60" s="25" t="inlineStr"/>
    </row>
    <row r="61" ht="38" customHeight="1">
      <c r="A61" s="25" t="inlineStr">
        <is>
          <t>5</t>
        </is>
      </c>
      <c r="B61" s="25" t="inlineStr">
        <is>
          <t>Reimbursing Entities (GPIT, OPI WF Owner, 440 First Street, OPI)  →  RMR</t>
        </is>
      </c>
      <c r="C61" s="25" t="inlineStr">
        <is>
          <t>Receivable</t>
        </is>
      </c>
      <c r="D61" s="25" t="inlineStr">
        <is>
          <t>Historically nets to zero on consolidated basis but balances persisted on consolidating basis</t>
        </is>
      </c>
      <c r="E61" s="25" t="inlineStr">
        <is>
          <t>Pre</t>
        </is>
      </c>
      <c r="F61" s="25" t="inlineStr">
        <is>
          <t>¶45-46 — accounting updated to reflect net-zero economic reality</t>
        </is>
      </c>
      <c r="G61" s="25" t="inlineStr"/>
      <c r="H61" s="25" t="inlineStr"/>
    </row>
    <row r="62" ht="38" customHeight="1">
      <c r="A62" s="25" t="inlineStr">
        <is>
          <t>6</t>
        </is>
      </c>
      <c r="B62" s="25" t="inlineStr">
        <is>
          <t>Among GPIT / OPI / OPI Notex Properties LLC / OPI BND Properties LLC / OPI 25 Exchange LLC / SIR Colorado Springs LLC</t>
        </is>
      </c>
      <c r="C62" s="25" t="inlineStr">
        <is>
          <t>Both directions</t>
        </is>
      </c>
      <c r="D62" s="25" t="inlineStr">
        <is>
          <t>Postpetition cash consolidation — silo-level operating accounts pool Tenant Receipts</t>
        </is>
      </c>
      <c r="E62" s="25" t="inlineStr">
        <is>
          <t>Post</t>
        </is>
      </c>
      <c r="F62" s="25" t="inlineStr">
        <is>
          <t>¶96. New post-petition IC claims by silo</t>
        </is>
      </c>
      <c r="G62" s="25" t="inlineStr"/>
      <c r="H62" s="25" t="inlineStr"/>
    </row>
    <row r="63" ht="38" customHeight="1">
      <c r="A63" s="25" t="inlineStr">
        <is>
          <t>7</t>
        </is>
      </c>
      <c r="B63" s="25" t="inlineStr">
        <is>
          <t>OPI 51% interest in First Potomac DC Holdings JV</t>
        </is>
      </c>
      <c r="C63" s="25" t="inlineStr">
        <is>
          <t>Equity / distributions only</t>
        </is>
      </c>
      <c r="D63" s="25" t="inlineStr">
        <is>
          <t>51% LLC interest in unconsolidated JV (2 properties)</t>
        </is>
      </c>
      <c r="E63" s="25" t="inlineStr">
        <is>
          <t>Pre and post</t>
        </is>
      </c>
      <c r="F63" s="25" t="inlineStr">
        <is>
          <t>Not consolidated; JV is non-Debtor</t>
        </is>
      </c>
      <c r="G63" s="25" t="inlineStr"/>
      <c r="H63" s="25" t="inlineStr"/>
    </row>
    <row r="65" ht="50" customHeight="1">
      <c r="A65" s="47" t="inlineStr">
        <is>
          <t>Sources: First-Day Declaration of A. Aiello (Doc. 26, Case 25-90530, SDTX, 10/31/25), ¶¶24, 31, 45-47, 49-72, 95-96, 101; 11/3/25 First Day Hearing demonstrative slides p.3 (entity counts) and pp.10-16 (silo charts); Exhibits B, B-1 (JPM/UBS Borrowers), B-2 (Credit Agreement Obligors), B-3 (March 2029), B-4 (September 2029), B-5 (March 2027) to the First-Day Declaration.</t>
        </is>
      </c>
      <c r="B65" s="48" t="n"/>
      <c r="C65" s="48" t="n"/>
      <c r="D65" s="48" t="n"/>
      <c r="E65" s="48" t="n"/>
      <c r="F65" s="48" t="n"/>
      <c r="G65" s="48" t="n"/>
      <c r="H65" s="49" t="n"/>
    </row>
  </sheetData>
  <mergeCells count="16">
    <mergeCell ref="A12:H12"/>
    <mergeCell ref="A4:H4"/>
    <mergeCell ref="A45:H45"/>
    <mergeCell ref="A55:H55"/>
    <mergeCell ref="A29:H29"/>
    <mergeCell ref="A25:H25"/>
    <mergeCell ref="A65:H65"/>
    <mergeCell ref="A38:H38"/>
    <mergeCell ref="A2:H2"/>
    <mergeCell ref="A40:H40"/>
    <mergeCell ref="A19:H19"/>
    <mergeCell ref="A14:H14"/>
    <mergeCell ref="A1:H1"/>
    <mergeCell ref="A32:H32"/>
    <mergeCell ref="A22:H22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50" t="inlineStr">
        <is>
          <t>Q9 — DIP IRR (single $125M draw on 2/1/26, repaid in cash at scheduled maturity)</t>
        </is>
      </c>
    </row>
    <row r="3">
      <c r="A3" s="51" t="inlineStr">
        <is>
          <t>INPUTS</t>
        </is>
      </c>
    </row>
    <row r="4">
      <c r="A4" t="inlineStr">
        <is>
          <t>Petition Date</t>
        </is>
      </c>
      <c r="B4" s="52" t="n">
        <v>45960</v>
      </c>
    </row>
    <row r="5">
      <c r="A5" t="inlineStr">
        <is>
          <t>DIP Funding Date (single draw)</t>
        </is>
      </c>
      <c r="B5" s="52" t="n">
        <v>46054</v>
      </c>
    </row>
    <row r="6">
      <c r="A6" t="inlineStr">
        <is>
          <t>Scheduled Maturity (185 days post-petition)</t>
        </is>
      </c>
      <c r="B6" s="52" t="n">
        <v>46145</v>
      </c>
    </row>
    <row r="7">
      <c r="A7" t="inlineStr">
        <is>
          <t>DIP Commitments / Cash Drawn ($M)</t>
        </is>
      </c>
      <c r="B7" s="86" t="n">
        <v>125</v>
      </c>
    </row>
    <row r="8">
      <c r="A8" t="inlineStr">
        <is>
          <t>Cash Interest Rate (per annum)</t>
        </is>
      </c>
      <c r="B8" s="54" t="n">
        <v>0.12</v>
      </c>
    </row>
    <row r="9">
      <c r="A9" t="inlineStr">
        <is>
          <t>Upfront Fee (% of Commitments, PIK / capitalized)</t>
        </is>
      </c>
      <c r="B9" s="54" t="n">
        <v>0.0225</v>
      </c>
    </row>
    <row r="10">
      <c r="A10" t="inlineStr">
        <is>
          <t>Anchor Capital Commitment Fee (% of Commitments, SteerCo only)</t>
        </is>
      </c>
      <c r="B10" s="54" t="n">
        <v>0.1</v>
      </c>
    </row>
    <row r="11">
      <c r="A11" t="inlineStr">
        <is>
          <t>Exit Fee (% of DIP Loans paid)</t>
        </is>
      </c>
      <c r="B11" s="54" t="n">
        <v>0.0575</v>
      </c>
    </row>
    <row r="12">
      <c r="A12" t="inlineStr">
        <is>
          <t>Day Count (interest)</t>
        </is>
      </c>
      <c r="B12" s="55" t="n">
        <v>365</v>
      </c>
    </row>
    <row r="14">
      <c r="A14" s="51" t="inlineStr">
        <is>
          <t>DERIVED</t>
        </is>
      </c>
    </row>
    <row r="15">
      <c r="A15" t="inlineStr">
        <is>
          <t>Upfront Fee $ (capitalized to par)</t>
        </is>
      </c>
      <c r="B15" s="87">
        <f>B9*B7</f>
        <v/>
      </c>
    </row>
    <row r="16">
      <c r="A16" t="inlineStr">
        <is>
          <t>Capitalized Par (Cash + Upfront Fee)</t>
        </is>
      </c>
      <c r="B16" s="88">
        <f>B7+B15</f>
        <v/>
      </c>
    </row>
    <row r="17">
      <c r="A17" t="inlineStr">
        <is>
          <t>Anchor Fee $ (paid only if anchor lender)</t>
        </is>
      </c>
      <c r="B17" s="87">
        <f>B10*B7</f>
        <v/>
      </c>
    </row>
    <row r="18">
      <c r="A18" t="inlineStr">
        <is>
          <t>Exit Fee $ (5.75% of capitalized par)</t>
        </is>
      </c>
      <c r="B18" s="87">
        <f>B11*B16</f>
        <v/>
      </c>
    </row>
    <row r="19">
      <c r="A19" t="inlineStr">
        <is>
          <t>Daily Interest Rate</t>
        </is>
      </c>
      <c r="B19" s="89">
        <f>B8/B12</f>
        <v/>
      </c>
    </row>
    <row r="21">
      <c r="A21" s="51" t="inlineStr">
        <is>
          <t>CASH FLOW SCHEDULE</t>
        </is>
      </c>
    </row>
    <row r="22" ht="30" customHeight="1">
      <c r="A22" s="59" t="inlineStr">
        <is>
          <t>#</t>
        </is>
      </c>
      <c r="B22" s="59" t="inlineStr">
        <is>
          <t>Date</t>
        </is>
      </c>
      <c r="C22" s="59" t="inlineStr">
        <is>
          <t>Days from prior</t>
        </is>
      </c>
      <c r="D22" s="59" t="inlineStr">
        <is>
          <t>Period Description</t>
        </is>
      </c>
      <c r="E22" s="59" t="inlineStr">
        <is>
          <t>Interest CF</t>
        </is>
      </c>
      <c r="F22" s="59" t="inlineStr">
        <is>
          <t>Principal/Fees CF</t>
        </is>
      </c>
      <c r="G22" s="60" t="inlineStr">
        <is>
          <t>No-Anchor Lender</t>
        </is>
      </c>
      <c r="H22" s="60" t="inlineStr">
        <is>
          <t>Anchor Lender (SteerCo)</t>
        </is>
      </c>
    </row>
    <row r="23">
      <c r="A23" s="61" t="n">
        <v>0</v>
      </c>
      <c r="B23" s="62" t="n">
        <v>46054</v>
      </c>
      <c r="C23" s="61" t="n">
        <v>0</v>
      </c>
      <c r="D23" s="61" t="inlineStr">
        <is>
          <t>Funding (single $125M draw)</t>
        </is>
      </c>
      <c r="E23" s="90" t="n">
        <v>0</v>
      </c>
      <c r="F23" s="90">
        <f>-B7</f>
        <v/>
      </c>
      <c r="G23" s="90">
        <f>E23+F23</f>
        <v/>
      </c>
      <c r="H23" s="90">
        <f>E23+F23</f>
        <v/>
      </c>
    </row>
    <row r="24">
      <c r="A24" s="61" t="n">
        <v>1</v>
      </c>
      <c r="B24" s="62" t="n">
        <v>46081</v>
      </c>
      <c r="C24" s="61">
        <f>B24-B23</f>
        <v/>
      </c>
      <c r="D24" s="61" t="inlineStr">
        <is>
          <t>Feb interest (Feb 1 → Feb 28, 27 days)</t>
        </is>
      </c>
      <c r="E24" s="90">
        <f>B16*B19*C24</f>
        <v/>
      </c>
      <c r="F24" s="90" t="n">
        <v>0</v>
      </c>
      <c r="G24" s="90">
        <f>E24+F24</f>
        <v/>
      </c>
      <c r="H24" s="90">
        <f>E24+F24</f>
        <v/>
      </c>
    </row>
    <row r="25">
      <c r="A25" s="61" t="n">
        <v>2</v>
      </c>
      <c r="B25" s="62" t="n">
        <v>46112</v>
      </c>
      <c r="C25" s="61">
        <f>B25-B24</f>
        <v/>
      </c>
      <c r="D25" s="61" t="inlineStr">
        <is>
          <t>Mar interest (Feb 28 → Mar 31, 31 days)</t>
        </is>
      </c>
      <c r="E25" s="90">
        <f>B16*B19*C25</f>
        <v/>
      </c>
      <c r="F25" s="90" t="n">
        <v>0</v>
      </c>
      <c r="G25" s="90">
        <f>E25+F25</f>
        <v/>
      </c>
      <c r="H25" s="90">
        <f>E25+F25</f>
        <v/>
      </c>
    </row>
    <row r="26">
      <c r="A26" s="61" t="n">
        <v>3</v>
      </c>
      <c r="B26" s="62" t="n">
        <v>46142</v>
      </c>
      <c r="C26" s="61">
        <f>B26-B25</f>
        <v/>
      </c>
      <c r="D26" s="61" t="inlineStr">
        <is>
          <t>Apr interest (Mar 31 → Apr 30, 30 days)</t>
        </is>
      </c>
      <c r="E26" s="90">
        <f>B16*B19*C26</f>
        <v/>
      </c>
      <c r="F26" s="90" t="n">
        <v>0</v>
      </c>
      <c r="G26" s="90">
        <f>E26+F26</f>
        <v/>
      </c>
      <c r="H26" s="90">
        <f>E26+F26</f>
        <v/>
      </c>
    </row>
    <row r="27">
      <c r="A27" s="61" t="n">
        <v>4</v>
      </c>
      <c r="B27" s="62" t="n">
        <v>46145</v>
      </c>
      <c r="C27" s="61">
        <f>B27-B26</f>
        <v/>
      </c>
      <c r="D27" s="61" t="inlineStr">
        <is>
          <t>Maturity: stub interest + principal + Exit Fee (+ Anchor Fee)</t>
        </is>
      </c>
      <c r="E27" s="90">
        <f>B16*B19*C27</f>
        <v/>
      </c>
      <c r="F27" s="90">
        <f>B16+B18</f>
        <v/>
      </c>
      <c r="G27" s="90">
        <f>E27+F27</f>
        <v/>
      </c>
      <c r="H27" s="90">
        <f>E27+F27+B17</f>
        <v/>
      </c>
    </row>
    <row r="29">
      <c r="A29" s="64" t="inlineStr">
        <is>
          <t>TOTAL CASH RECEIVED (excl. funding)</t>
        </is>
      </c>
      <c r="G29" s="91">
        <f>SUM(G24:G27)</f>
        <v/>
      </c>
      <c r="H29" s="91">
        <f>SUM(H24:H27)</f>
        <v/>
      </c>
    </row>
    <row r="30">
      <c r="A30" s="64" t="inlineStr">
        <is>
          <t>TOTAL PROFIT ($M)</t>
        </is>
      </c>
      <c r="G30" s="91">
        <f>G29-B7</f>
        <v/>
      </c>
      <c r="H30" s="91">
        <f>H29-B7</f>
        <v/>
      </c>
    </row>
    <row r="31">
      <c r="A31" s="64" t="inlineStr">
        <is>
          <t>MoIC (cash multiple)</t>
        </is>
      </c>
      <c r="G31" s="66">
        <f>G29/B7</f>
        <v/>
      </c>
      <c r="H31" s="66">
        <f>H29/B7</f>
        <v/>
      </c>
    </row>
    <row r="33">
      <c r="A33" s="67" t="inlineStr">
        <is>
          <t>ANNUALIZED IRR (XIRR)</t>
        </is>
      </c>
      <c r="G33" s="68">
        <f>XIRR(G23:G27,B23:B27)</f>
        <v/>
      </c>
      <c r="H33" s="68">
        <f>XIRR(H23:H27,B23:B27)</f>
        <v/>
      </c>
    </row>
    <row r="36">
      <c r="A36" s="51" t="inlineStr">
        <is>
          <t>NOTES &amp; ASSUMPTIONS</t>
        </is>
      </c>
    </row>
    <row r="37">
      <c r="A37" s="69" t="inlineStr">
        <is>
          <t>• Single draw of $125M cash on 2/1/26 (per assignment). $10M Interim + $115M Final treated as a single draw.</t>
        </is>
      </c>
    </row>
    <row r="38">
      <c r="A38" s="69" t="inlineStr">
        <is>
          <t>• Upfront Fee 2.25% × $125M = $2.8125M is PIK/capitalized at funding → interest accrues on $127.8125M par.</t>
        </is>
      </c>
    </row>
    <row r="39">
      <c r="A39" s="69" t="inlineStr">
        <is>
          <t>• Interest 12% per annum, ACT/365, paid monthly in arrears (modeled at month-end + 3-day stub at maturity 5/3/26).</t>
        </is>
      </c>
    </row>
    <row r="40">
      <c r="A40" s="69" t="inlineStr">
        <is>
          <t>• Exit Fee 5.75% applied to capitalized par ($127.8125M); paid in cash at maturity per assignment.</t>
        </is>
      </c>
    </row>
    <row r="41">
      <c r="A41" s="69" t="inlineStr">
        <is>
          <t>• Anchor Capital Commitment Fee 10% × $125M = $12.5M; paid only to SteerCo at maturity.</t>
        </is>
      </c>
    </row>
    <row r="42">
      <c r="A42" s="69" t="inlineStr">
        <is>
          <t>• "All fees in cash" per assignment → no equity election, no 37% discount applied here. See Q9 - 37% Discount tab.</t>
        </is>
      </c>
    </row>
    <row r="43">
      <c r="A43" s="69" t="inlineStr">
        <is>
          <t>• Scheduled maturity = petition date (10/30/25) + 185 days = 5/3/26.</t>
        </is>
      </c>
    </row>
  </sheetData>
  <mergeCells count="8">
    <mergeCell ref="A39:H39"/>
    <mergeCell ref="A43:H43"/>
    <mergeCell ref="A38:H38"/>
    <mergeCell ref="A1:I1"/>
    <mergeCell ref="A42:H42"/>
    <mergeCell ref="A41:H41"/>
    <mergeCell ref="A37:H37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50" t="inlineStr">
        <is>
          <t>Q9 — Application of 37% Discount Across DIP Components (if converted to equity)</t>
        </is>
      </c>
    </row>
    <row r="3">
      <c r="A3" s="51" t="inlineStr">
        <is>
          <t>INPUTS</t>
        </is>
      </c>
    </row>
    <row r="4">
      <c r="A4" t="inlineStr">
        <is>
          <t>DIP Commitments ($M)</t>
        </is>
      </c>
      <c r="B4" s="86" t="n">
        <v>125</v>
      </c>
    </row>
    <row r="5">
      <c r="A5" t="inlineStr">
        <is>
          <t>Upfront Fee % (capitalized)</t>
        </is>
      </c>
      <c r="B5" s="54" t="n">
        <v>0.0225</v>
      </c>
    </row>
    <row r="6">
      <c r="A6" t="inlineStr">
        <is>
          <t>Anchor Fee % (SteerCo only)</t>
        </is>
      </c>
      <c r="B6" s="54" t="n">
        <v>0.1</v>
      </c>
    </row>
    <row r="7">
      <c r="A7" t="inlineStr">
        <is>
          <t>Exit Fee %</t>
        </is>
      </c>
      <c r="B7" s="54" t="n">
        <v>0.0575</v>
      </c>
    </row>
    <row r="8">
      <c r="A8" t="inlineStr">
        <is>
          <t>ERO B Cap (paid in cash, $M)</t>
        </is>
      </c>
      <c r="B8" s="86" t="n">
        <v>25</v>
      </c>
    </row>
    <row r="9">
      <c r="A9" t="inlineStr">
        <is>
          <t>Equity Discount %</t>
        </is>
      </c>
      <c r="B9" s="54" t="n">
        <v>0.37</v>
      </c>
    </row>
    <row r="11">
      <c r="A11" s="51" t="inlineStr">
        <is>
          <t>TABLE — Component Treatment</t>
        </is>
      </c>
    </row>
    <row r="12" ht="30" customHeight="1">
      <c r="A12" s="59" t="inlineStr">
        <is>
          <t>Component</t>
        </is>
      </c>
      <c r="B12" s="59" t="inlineStr">
        <is>
          <t>Claim ($M)</t>
        </is>
      </c>
      <c r="C12" s="59" t="inlineStr">
        <is>
          <t>Conversion Basis</t>
        </is>
      </c>
      <c r="D12" s="59" t="inlineStr">
        <is>
          <t>Equity at Plan Value ($M)</t>
        </is>
      </c>
      <c r="E12" s="59" t="inlineStr">
        <is>
          <t>Equity uplift vs. par</t>
        </is>
      </c>
    </row>
    <row r="13">
      <c r="A13" s="61" t="inlineStr">
        <is>
          <t>Capitalized DIP Loan Par (Principal + Upfront Fee)</t>
        </is>
      </c>
      <c r="B13" s="92">
        <f>B4*(1+B5)</f>
        <v/>
      </c>
      <c r="C13" s="61" t="n"/>
      <c r="D13" s="61" t="n"/>
      <c r="E13" s="61" t="n"/>
    </row>
    <row r="14">
      <c r="A14" s="71" t="inlineStr">
        <is>
          <t xml:space="preserve">   (a) ERO B paydown — paid in CASH, no equity</t>
        </is>
      </c>
      <c r="B14" s="92">
        <f>B8</f>
        <v/>
      </c>
      <c r="C14" s="61" t="inlineStr">
        <is>
          <t>Cash @ par (no discount)</t>
        </is>
      </c>
      <c r="D14" s="92">
        <f>B8</f>
        <v/>
      </c>
      <c r="E14" s="61" t="inlineStr">
        <is>
          <t>—</t>
        </is>
      </c>
    </row>
    <row r="15">
      <c r="A15" s="61" t="inlineStr">
        <is>
          <t xml:space="preserve">   (b) Remaining Par (incl. capitalized Upfront Fee) → equity @ 37% discount</t>
        </is>
      </c>
      <c r="B15" s="92">
        <f>B4*(1+B5)-B8</f>
        <v/>
      </c>
      <c r="C15" s="61" t="inlineStr">
        <is>
          <t>Equity @ (1 - 37%) = 0.63× par</t>
        </is>
      </c>
      <c r="D15" s="92">
        <f>B15/(1-B9)</f>
        <v/>
      </c>
      <c r="E15" s="72">
        <f>D15/B15</f>
        <v/>
      </c>
    </row>
    <row r="16">
      <c r="A16" s="61" t="inlineStr">
        <is>
          <t xml:space="preserve">   (c) Anchor Capital Commitment Fee → equity @ Plan Value (no discount)</t>
        </is>
      </c>
      <c r="B16" s="92">
        <f>B6*B4</f>
        <v/>
      </c>
      <c r="C16" s="61" t="inlineStr">
        <is>
          <t>Equity @ par</t>
        </is>
      </c>
      <c r="D16" s="92">
        <f>B16</f>
        <v/>
      </c>
      <c r="E16" s="61" t="inlineStr">
        <is>
          <t>1.00x</t>
        </is>
      </c>
    </row>
    <row r="17">
      <c r="A17" s="61" t="inlineStr">
        <is>
          <t xml:space="preserve">   (d) Exit Fee → equity @ Plan Value (no discount)</t>
        </is>
      </c>
      <c r="B17" s="92">
        <f>B7*B4*(1+B5)</f>
        <v/>
      </c>
      <c r="C17" s="61" t="inlineStr">
        <is>
          <t>Equity @ par</t>
        </is>
      </c>
      <c r="D17" s="92">
        <f>B17</f>
        <v/>
      </c>
      <c r="E17" s="61" t="inlineStr">
        <is>
          <t>1.00x</t>
        </is>
      </c>
    </row>
    <row r="19">
      <c r="A19" s="67" t="inlineStr">
        <is>
          <t>TOTALS</t>
        </is>
      </c>
      <c r="B19" s="91">
        <f>SUM(B14:B17)</f>
        <v/>
      </c>
      <c r="D19" s="91">
        <f>SUM(D14:D17)</f>
        <v/>
      </c>
    </row>
    <row r="20">
      <c r="A20" s="64" t="inlineStr">
        <is>
          <t>Implied total equity value to DIP holders / total claim</t>
        </is>
      </c>
      <c r="E20" s="93">
        <f>D19/B19</f>
        <v/>
      </c>
    </row>
    <row r="23">
      <c r="A23" s="51" t="inlineStr">
        <is>
          <t>MECHANICS</t>
        </is>
      </c>
    </row>
    <row r="24">
      <c r="A24" s="69" t="inlineStr">
        <is>
          <t>• "Equity at 37% discount" means $1 of claim is satisfied with $1 / (1 – 0.37) = $1.587 of equity at Plan Equity Value.</t>
        </is>
      </c>
    </row>
    <row r="25">
      <c r="A25" s="69" t="inlineStr">
        <is>
          <t>• That 58.7% kicker is the DIP equity-conversion premium — compensation for taking DIP risk.</t>
        </is>
      </c>
    </row>
    <row r="26">
      <c r="A26" s="69" t="inlineStr">
        <is>
          <t>• It applies ONLY to: (i) DIP loan principal not satisfied by ERO B cash, and (ii) the Upfront Fee (which is capitalized into principal).</t>
        </is>
      </c>
    </row>
    <row r="27">
      <c r="A27" s="69" t="inlineStr">
        <is>
          <t>• It does NOT apply to: Anchor Capital Commitment Fee (10%) or Exit Fee (5.75%) — those convert at Plan Value (par) if equitized.</t>
        </is>
      </c>
    </row>
    <row r="28">
      <c r="A28" s="69" t="inlineStr">
        <is>
          <t>• Up to $25M of the DIP claim is satisfied with cash from ERO B Proceeds at par (no equity, no discount).</t>
        </is>
      </c>
    </row>
    <row r="29">
      <c r="A29" s="69" t="inlineStr">
        <is>
          <t>• Anchor Fee is paid only to SteerCo (Helix + Redwood); other DIP lenders share Upfront, Exit, and the 37% discount uplift.</t>
        </is>
      </c>
    </row>
    <row r="30">
      <c r="A30" s="69" t="inlineStr">
        <is>
          <t>• If the RSA is terminated, all DIP Obligations must be paid in cash — no equity conversion / no 37% discount available.</t>
        </is>
      </c>
    </row>
  </sheetData>
  <mergeCells count="8">
    <mergeCell ref="A30:E30"/>
    <mergeCell ref="A29:E29"/>
    <mergeCell ref="A26:E26"/>
    <mergeCell ref="A24:E24"/>
    <mergeCell ref="A25:E25"/>
    <mergeCell ref="A28:E28"/>
    <mergeCell ref="A1:E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2026-05-05T01:13:55Z</dcterms:created>
  <dcterms:modified xsi:type="dcterms:W3CDTF">2026-05-11T06:00:55Z</dcterms:modified>
</cp:coreProperties>
</file>