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Structure" sheetId="1" state="visible" r:id="rId1"/>
    <sheet name="Cash Interest" sheetId="2" state="visible" r:id="rId2"/>
    <sheet name="Leverage Multip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%"/>
    <numFmt numFmtId="166" formatCode="0.00&quot;x&quot;"/>
    <numFmt numFmtId="167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sz val="9"/>
    </font>
    <font>
      <i val="1"/>
      <color rgb="00666666"/>
      <sz val="9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0" fillId="0" borderId="0" pivotButton="0" quotePrefix="0" xfId="0"/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8" customWidth="1" min="4" max="4"/>
  </cols>
  <sheetData>
    <row r="1">
      <c r="A1" s="1" t="inlineStr">
        <is>
          <t>Capital Structure of OPI at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Maturity</t>
        </is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5" t="inlineStr">
        <is>
          <t>2028-2033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5" t="inlineStr">
        <is>
          <t>January 2027</t>
        </is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5" t="inlineStr">
        <is>
          <t>March 2029</t>
        </is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5" t="inlineStr">
        <is>
          <t>September 2029</t>
        </is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5" t="inlineStr">
        <is>
          <t>March 2027</t>
        </is>
      </c>
    </row>
    <row r="8">
      <c r="A8" s="6" t="inlineStr">
        <is>
          <t>Total Company Secured Debt</t>
        </is>
      </c>
      <c r="B8" s="7">
        <f>SUM(B3:B7)</f>
        <v/>
      </c>
      <c r="C8" s="6" t="n"/>
      <c r="D8" s="6" t="n"/>
    </row>
    <row r="9">
      <c r="A9" s="6" t="inlineStr">
        <is>
          <t>Total Debtor Secured Debt</t>
        </is>
      </c>
      <c r="B9" s="7">
        <f>B8-B3</f>
        <v/>
      </c>
      <c r="C9" s="6" t="n"/>
      <c r="D9" s="6" t="n"/>
    </row>
    <row r="10">
      <c r="A10" s="3" t="inlineStr">
        <is>
          <t>Priority Guaranteed Notes</t>
        </is>
      </c>
      <c r="B10" s="4" t="n">
        <v>14.4</v>
      </c>
      <c r="C10" s="5" t="inlineStr">
        <is>
          <t>8.000%</t>
        </is>
      </c>
      <c r="D10" s="5" t="inlineStr">
        <is>
          <t>January 2030</t>
        </is>
      </c>
    </row>
    <row r="11">
      <c r="A11" s="3" t="inlineStr">
        <is>
          <t>Senior Notes due 2026</t>
        </is>
      </c>
      <c r="B11" s="4" t="n">
        <v>133.9</v>
      </c>
      <c r="C11" s="5" t="inlineStr">
        <is>
          <t>2.650%</t>
        </is>
      </c>
      <c r="D11" s="5" t="inlineStr">
        <is>
          <t>June 2026</t>
        </is>
      </c>
    </row>
    <row r="12">
      <c r="A12" s="3" t="inlineStr">
        <is>
          <t>Senior Notes due 2027</t>
        </is>
      </c>
      <c r="B12" s="4" t="n">
        <v>78.3</v>
      </c>
      <c r="C12" s="5" t="inlineStr">
        <is>
          <t>2.400%</t>
        </is>
      </c>
      <c r="D12" s="5" t="inlineStr">
        <is>
          <t>February 2027</t>
        </is>
      </c>
    </row>
    <row r="13">
      <c r="A13" s="3" t="inlineStr">
        <is>
          <t>Senior Notes due 2031</t>
        </is>
      </c>
      <c r="B13" s="4" t="n">
        <v>102.4</v>
      </c>
      <c r="C13" s="5" t="inlineStr">
        <is>
          <t>3.450%</t>
        </is>
      </c>
      <c r="D13" s="5" t="inlineStr">
        <is>
          <t>October 2031</t>
        </is>
      </c>
    </row>
    <row r="14">
      <c r="A14" s="3" t="inlineStr">
        <is>
          <t>Senior Notes due 2050</t>
        </is>
      </c>
      <c r="B14" s="4" t="n">
        <v>162</v>
      </c>
      <c r="C14" s="5" t="inlineStr">
        <is>
          <t>6.375%</t>
        </is>
      </c>
      <c r="D14" s="5" t="inlineStr">
        <is>
          <t>June 2050</t>
        </is>
      </c>
    </row>
    <row r="15">
      <c r="A15" s="6" t="inlineStr">
        <is>
          <t>Total Unsecured Debt</t>
        </is>
      </c>
      <c r="B15" s="7">
        <f>SUM(B10:B14)</f>
        <v/>
      </c>
      <c r="C15" s="6" t="n"/>
      <c r="D15" s="6" t="n"/>
    </row>
    <row r="16">
      <c r="A16" s="6" t="inlineStr">
        <is>
          <t>Total Company Funded Debt</t>
        </is>
      </c>
      <c r="B16" s="7">
        <f>B8+B15</f>
        <v/>
      </c>
      <c r="C16" s="6" t="n"/>
      <c r="D16" s="6" t="n"/>
    </row>
    <row r="17">
      <c r="A17" s="6" t="inlineStr">
        <is>
          <t>Total Debtor Funded Debt</t>
        </is>
      </c>
      <c r="B17" s="7">
        <f>B9+B15</f>
        <v/>
      </c>
      <c r="C17" s="6" t="n"/>
      <c r="D17" s="6" t="n"/>
    </row>
    <row r="19">
      <c r="A19" s="8" t="inlineStr">
        <is>
          <t>Source: First-Day Declaration of A. Aiello, ¶49 (Doc. 26, filed 10/31/25, Case No. 25-90530, SDTX, Judge Lopez).</t>
        </is>
      </c>
    </row>
  </sheetData>
  <mergeCells count="7">
    <mergeCell ref="A1:D1"/>
    <mergeCell ref="B8:D8"/>
    <mergeCell ref="B17:D17"/>
    <mergeCell ref="B9:D9"/>
    <mergeCell ref="A19:D19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20" customWidth="1" min="5" max="5"/>
    <col width="16" customWidth="1" min="6" max="6"/>
    <col width="12" customWidth="1" min="7" max="7"/>
  </cols>
  <sheetData>
    <row r="1">
      <c r="A1" s="1" t="inlineStr">
        <is>
          <t>Cash Interest on the Capital Structure as of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Annual Interest ($m)</t>
        </is>
      </c>
      <c r="E2" s="9" t="inlineStr">
        <is>
          <t>Numeric Rate (helper)</t>
        </is>
      </c>
      <c r="F2" s="2" t="inlineStr">
        <is>
          <t>SOFR Rate</t>
        </is>
      </c>
      <c r="G2" s="10" t="n">
        <v>0.042</v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4">
        <f>B3*E3</f>
        <v/>
      </c>
      <c r="E3" s="11" t="n">
        <v>0.0779</v>
      </c>
      <c r="F3" s="12" t="inlineStr">
        <is>
          <t>(30-Day Average as of Petition Date)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4">
        <f>B4*E4</f>
        <v/>
      </c>
      <c r="E4" s="11">
        <f>$G$2+0.0350</f>
        <v/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4">
        <f>B5*E5</f>
        <v/>
      </c>
      <c r="E5" s="11" t="n">
        <v>0.09</v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4">
        <f>B6*E6</f>
        <v/>
      </c>
      <c r="E6" s="11" t="n">
        <v>0.09</v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4">
        <f>B7*E7</f>
        <v/>
      </c>
      <c r="E7" s="11" t="n">
        <v>0.0325</v>
      </c>
    </row>
    <row r="8">
      <c r="A8" s="3" t="inlineStr">
        <is>
          <t>Priority Guaranteed Notes</t>
        </is>
      </c>
      <c r="B8" s="4" t="n">
        <v>14.4</v>
      </c>
      <c r="C8" s="5" t="inlineStr">
        <is>
          <t>8.000%</t>
        </is>
      </c>
      <c r="D8" s="4">
        <f>B8*E8</f>
        <v/>
      </c>
      <c r="E8" s="11" t="n">
        <v>0.08</v>
      </c>
    </row>
    <row r="9">
      <c r="A9" s="3" t="inlineStr">
        <is>
          <t>Senior Notes due 2026</t>
        </is>
      </c>
      <c r="B9" s="4" t="n">
        <v>133.9</v>
      </c>
      <c r="C9" s="5" t="inlineStr">
        <is>
          <t>2.650%</t>
        </is>
      </c>
      <c r="D9" s="4">
        <f>B9*E9</f>
        <v/>
      </c>
      <c r="E9" s="11" t="n">
        <v>0.0265</v>
      </c>
    </row>
    <row r="10">
      <c r="A10" s="3" t="inlineStr">
        <is>
          <t>Senior Notes due 2027</t>
        </is>
      </c>
      <c r="B10" s="4" t="n">
        <v>78.3</v>
      </c>
      <c r="C10" s="5" t="inlineStr">
        <is>
          <t>2.400%</t>
        </is>
      </c>
      <c r="D10" s="4">
        <f>B10*E10</f>
        <v/>
      </c>
      <c r="E10" s="11" t="n">
        <v>0.024</v>
      </c>
    </row>
    <row r="11">
      <c r="A11" s="3" t="inlineStr">
        <is>
          <t>Senior Notes due 2031</t>
        </is>
      </c>
      <c r="B11" s="4" t="n">
        <v>102.4</v>
      </c>
      <c r="C11" s="5" t="inlineStr">
        <is>
          <t>3.450%</t>
        </is>
      </c>
      <c r="D11" s="4">
        <f>B11*E11</f>
        <v/>
      </c>
      <c r="E11" s="11" t="n">
        <v>0.0345</v>
      </c>
    </row>
    <row r="12">
      <c r="A12" s="3" t="inlineStr">
        <is>
          <t>Senior Notes due 2050</t>
        </is>
      </c>
      <c r="B12" s="4" t="n">
        <v>162</v>
      </c>
      <c r="C12" s="5" t="inlineStr">
        <is>
          <t>6.375%</t>
        </is>
      </c>
      <c r="D12" s="4">
        <f>B12*E12</f>
        <v/>
      </c>
      <c r="E12" s="11" t="n">
        <v>0.06375</v>
      </c>
    </row>
    <row r="13">
      <c r="A13" s="6" t="inlineStr">
        <is>
          <t>Total Principal Debt Amount</t>
        </is>
      </c>
      <c r="B13" s="7">
        <f>SUM(B3:B12)</f>
        <v/>
      </c>
      <c r="C13" s="6" t="n"/>
      <c r="D13" s="6" t="n"/>
      <c r="E13" s="6" t="n"/>
    </row>
    <row r="14">
      <c r="A14" s="6" t="inlineStr">
        <is>
          <t>Total Annual Cash Interest</t>
        </is>
      </c>
      <c r="B14" s="7">
        <f>SUM(D3:D12)</f>
        <v/>
      </c>
      <c r="C14" s="6" t="n"/>
      <c r="D14" s="6" t="n"/>
      <c r="E14" s="6" t="n"/>
    </row>
    <row r="16">
      <c r="A16" s="8" t="inlineStr">
        <is>
          <t>Notes: Credit Facility rate per ¶58 of First-Day Declaration is SOFR + 350 bps + 10 bps CSA. This build uses S+3.50% for simplicity (matches headline ¶49 disclosure).</t>
        </is>
      </c>
    </row>
    <row r="17">
      <c r="A17" s="8" t="inlineStr">
        <is>
          <t>SOFR assumption: change cell G2 to flex the Credit Facility's all-in rate.</t>
        </is>
      </c>
    </row>
  </sheetData>
  <mergeCells count="6">
    <mergeCell ref="F3:G3"/>
    <mergeCell ref="A1:D1"/>
    <mergeCell ref="B14:D14"/>
    <mergeCell ref="A17:G17"/>
    <mergeCell ref="B13:D13"/>
    <mergeCell ref="A16:G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</cols>
  <sheetData>
    <row r="1">
      <c r="A1" s="1" t="inlineStr">
        <is>
          <t>Total Debt / NOI Multiples &amp; Coverage</t>
        </is>
      </c>
    </row>
    <row r="3">
      <c r="A3" s="13" t="inlineStr">
        <is>
          <t>NOI Inputs (Cleansing Materials, p. 10)</t>
        </is>
      </c>
    </row>
    <row r="4">
      <c r="A4" t="inlineStr">
        <is>
          <t>TTM Cash Basis NOI (3/31/25)</t>
        </is>
      </c>
      <c r="B4" s="14" t="n">
        <v>230.7</v>
      </c>
      <c r="C4" t="inlineStr">
        <is>
          <t>$M</t>
        </is>
      </c>
    </row>
    <row r="5">
      <c r="A5" t="inlineStr">
        <is>
          <t>2025E Cash Basis NOI</t>
        </is>
      </c>
      <c r="B5" s="14" t="n">
        <v>216.4</v>
      </c>
      <c r="C5" t="inlineStr">
        <is>
          <t>$M</t>
        </is>
      </c>
    </row>
    <row r="6">
      <c r="A6" t="inlineStr">
        <is>
          <t>2026E Cash Basis NOI</t>
        </is>
      </c>
      <c r="B6" s="14" t="n">
        <v>211.3</v>
      </c>
      <c r="C6" t="inlineStr">
        <is>
          <t>$M</t>
        </is>
      </c>
    </row>
    <row r="8">
      <c r="A8" s="13" t="inlineStr">
        <is>
          <t>Debt Inputs (linked to Capital Structure tab)</t>
        </is>
      </c>
    </row>
    <row r="9">
      <c r="A9" t="inlineStr">
        <is>
          <t>Total Company Funded Debt</t>
        </is>
      </c>
      <c r="B9" s="14">
        <f>'Capital Structure'!B16</f>
        <v/>
      </c>
      <c r="C9" t="inlineStr">
        <is>
          <t>$M</t>
        </is>
      </c>
    </row>
    <row r="10">
      <c r="A10" t="inlineStr">
        <is>
          <t>Total Debtor Funded Debt</t>
        </is>
      </c>
      <c r="B10" s="14">
        <f>'Capital Structure'!B17</f>
        <v/>
      </c>
      <c r="C10" t="inlineStr">
        <is>
          <t>$M</t>
        </is>
      </c>
    </row>
    <row r="12">
      <c r="A12" s="13" t="inlineStr">
        <is>
          <t>Total Debt / NOI Multiples</t>
        </is>
      </c>
    </row>
    <row r="13">
      <c r="A13" s="2" t="inlineStr">
        <is>
          <t>Calculation</t>
        </is>
      </c>
      <c r="B13" s="2" t="inlineStr">
        <is>
          <t>Inputs</t>
        </is>
      </c>
      <c r="C13" s="2" t="inlineStr">
        <is>
          <t>Multiple</t>
        </is>
      </c>
    </row>
    <row r="14">
      <c r="A14" s="3" t="inlineStr">
        <is>
          <t>Total Company Debt / TTM NOI</t>
        </is>
      </c>
      <c r="B14" s="5">
        <f>B9&amp;" / "&amp;B4</f>
        <v/>
      </c>
      <c r="C14" s="15">
        <f>B9/B4</f>
        <v/>
      </c>
    </row>
    <row r="15">
      <c r="A15" s="3" t="inlineStr">
        <is>
          <t>Total Company Debt / 2025E NOI</t>
        </is>
      </c>
      <c r="B15" s="5">
        <f>B9&amp;" / "&amp;B5</f>
        <v/>
      </c>
      <c r="C15" s="15">
        <f>B9/B5</f>
        <v/>
      </c>
    </row>
    <row r="16">
      <c r="A16" s="3" t="inlineStr">
        <is>
          <t>Total Company Debt / 2026E NOI</t>
        </is>
      </c>
      <c r="B16" s="5">
        <f>B9&amp;" / "&amp;B6</f>
        <v/>
      </c>
      <c r="C16" s="15">
        <f>B9/B6</f>
        <v/>
      </c>
    </row>
    <row r="17">
      <c r="A17" s="3" t="inlineStr">
        <is>
          <t>Total Debtor Debt / TTM NOI</t>
        </is>
      </c>
      <c r="B17" s="5">
        <f>B10&amp;" / "&amp;B4</f>
        <v/>
      </c>
      <c r="C17" s="15">
        <f>B10/B4</f>
        <v/>
      </c>
    </row>
    <row r="18">
      <c r="A18" s="3" t="inlineStr">
        <is>
          <t>Total Debtor Debt / 2025E NOI</t>
        </is>
      </c>
      <c r="B18" s="5">
        <f>B10&amp;" / "&amp;B5</f>
        <v/>
      </c>
      <c r="C18" s="15">
        <f>B10/B5</f>
        <v/>
      </c>
    </row>
    <row r="19">
      <c r="A19" s="3" t="inlineStr">
        <is>
          <t>Total Debtor Debt / 2026E NOI</t>
        </is>
      </c>
      <c r="B19" s="5">
        <f>B10&amp;" / "&amp;B6</f>
        <v/>
      </c>
      <c r="C19" s="15">
        <f>B10/B6</f>
        <v/>
      </c>
    </row>
    <row r="21">
      <c r="A21" s="13" t="inlineStr">
        <is>
          <t>Coverage Ratios</t>
        </is>
      </c>
    </row>
    <row r="22">
      <c r="A22" s="3" t="inlineStr">
        <is>
          <t>Cash Interest as % of TTM NOI</t>
        </is>
      </c>
      <c r="B22" s="16">
        <f>'Cash Interest'!B14/B4</f>
        <v/>
      </c>
      <c r="C22" s="3" t="n"/>
    </row>
    <row r="23">
      <c r="A23" s="3" t="inlineStr">
        <is>
          <t>NOI / Cash Interest (interest coverage)</t>
        </is>
      </c>
      <c r="B23" s="15">
        <f>B4/'Cash Interest'!B14</f>
        <v/>
      </c>
      <c r="C23" s="3" t="n"/>
    </row>
    <row r="25">
      <c r="A25" s="8" t="inlineStr">
        <is>
          <t>Note: TTM NOI of $230.7M from the Cleansing Materials silo summary p. 10 (sum of all silos). 2025/2026E from projection page.</t>
        </is>
      </c>
    </row>
  </sheetData>
  <mergeCells count="6">
    <mergeCell ref="A25:C25"/>
    <mergeCell ref="A1:C1"/>
    <mergeCell ref="A8:C8"/>
    <mergeCell ref="A3:C3"/>
    <mergeCell ref="A21:C21"/>
    <mergeCell ref="A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2026-05-05T01:13:55Z</dcterms:created>
  <dcterms:modified xsi:type="dcterms:W3CDTF">2026-05-05T01:13:55Z</dcterms:modified>
</cp:coreProperties>
</file>