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Structure" sheetId="1" state="visible" r:id="rId1"/>
    <sheet name="Cash Interest" sheetId="2" state="visible" r:id="rId2"/>
    <sheet name="Leverage Multiples" sheetId="3" state="visible" r:id="rId3"/>
    <sheet name="Silo Allocation" sheetId="4" state="visible" r:id="rId4"/>
    <sheet name="Silo Coverage" sheetId="5" state="visible" r:id="rId5"/>
    <sheet name="Market Sensitivity" sheetId="6" state="visible" r:id="rId6"/>
    <sheet name="Silo Rank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000%"/>
    <numFmt numFmtId="166" formatCode="0.00&quot;x&quot;"/>
    <numFmt numFmtId="167" formatCode="0.0%"/>
    <numFmt numFmtId="168" formatCode="0.0"/>
    <numFmt numFmtId="169" formatCode="0.0&quot;x&quot;"/>
  </numFmts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sz val="9"/>
    </font>
    <font>
      <i val="1"/>
      <color rgb="00666666"/>
      <sz val="9"/>
    </font>
    <font>
      <i val="1"/>
      <color rgb="00666666"/>
    </font>
  </fonts>
  <fills count="6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pivotButton="0" quotePrefix="0" xfId="0"/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3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168" fontId="2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167" fontId="0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9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8" customWidth="1" min="4" max="4"/>
  </cols>
  <sheetData>
    <row r="1">
      <c r="A1" s="1" t="inlineStr">
        <is>
          <t>Capital Structure of OPI at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Maturity</t>
        </is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5" t="inlineStr">
        <is>
          <t>2028-2033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5" t="inlineStr">
        <is>
          <t>January 2027</t>
        </is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5" t="inlineStr">
        <is>
          <t>March 2029</t>
        </is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5" t="inlineStr">
        <is>
          <t>September 2029</t>
        </is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5" t="inlineStr">
        <is>
          <t>March 2027</t>
        </is>
      </c>
    </row>
    <row r="8">
      <c r="A8" s="6" t="inlineStr">
        <is>
          <t>Total Company Secured Debt</t>
        </is>
      </c>
      <c r="B8" s="7">
        <f>SUM(B3:B7)</f>
        <v/>
      </c>
      <c r="C8" s="17" t="n"/>
      <c r="D8" s="18" t="n"/>
    </row>
    <row r="9">
      <c r="A9" s="6" t="inlineStr">
        <is>
          <t>Total Debtor Secured Debt</t>
        </is>
      </c>
      <c r="B9" s="7">
        <f>B8-B3</f>
        <v/>
      </c>
      <c r="C9" s="17" t="n"/>
      <c r="D9" s="18" t="n"/>
    </row>
    <row r="10">
      <c r="A10" s="3" t="inlineStr">
        <is>
          <t>Priority Guaranteed Notes</t>
        </is>
      </c>
      <c r="B10" s="4" t="n">
        <v>14.4</v>
      </c>
      <c r="C10" s="5" t="inlineStr">
        <is>
          <t>8.000%</t>
        </is>
      </c>
      <c r="D10" s="5" t="inlineStr">
        <is>
          <t>January 2030</t>
        </is>
      </c>
    </row>
    <row r="11">
      <c r="A11" s="3" t="inlineStr">
        <is>
          <t>Senior Notes due 2026</t>
        </is>
      </c>
      <c r="B11" s="4" t="n">
        <v>133.9</v>
      </c>
      <c r="C11" s="5" t="inlineStr">
        <is>
          <t>2.650%</t>
        </is>
      </c>
      <c r="D11" s="5" t="inlineStr">
        <is>
          <t>June 2026</t>
        </is>
      </c>
    </row>
    <row r="12">
      <c r="A12" s="3" t="inlineStr">
        <is>
          <t>Senior Notes due 2027</t>
        </is>
      </c>
      <c r="B12" s="4" t="n">
        <v>78.3</v>
      </c>
      <c r="C12" s="5" t="inlineStr">
        <is>
          <t>2.400%</t>
        </is>
      </c>
      <c r="D12" s="5" t="inlineStr">
        <is>
          <t>February 2027</t>
        </is>
      </c>
    </row>
    <row r="13">
      <c r="A13" s="3" t="inlineStr">
        <is>
          <t>Senior Notes due 2031</t>
        </is>
      </c>
      <c r="B13" s="4" t="n">
        <v>102.4</v>
      </c>
      <c r="C13" s="5" t="inlineStr">
        <is>
          <t>3.450%</t>
        </is>
      </c>
      <c r="D13" s="5" t="inlineStr">
        <is>
          <t>October 2031</t>
        </is>
      </c>
    </row>
    <row r="14">
      <c r="A14" s="3" t="inlineStr">
        <is>
          <t>Senior Notes due 2050</t>
        </is>
      </c>
      <c r="B14" s="4" t="n">
        <v>162</v>
      </c>
      <c r="C14" s="5" t="inlineStr">
        <is>
          <t>6.375%</t>
        </is>
      </c>
      <c r="D14" s="5" t="inlineStr">
        <is>
          <t>June 2050</t>
        </is>
      </c>
    </row>
    <row r="15">
      <c r="A15" s="6" t="inlineStr">
        <is>
          <t>Total Unsecured Debt</t>
        </is>
      </c>
      <c r="B15" s="7">
        <f>SUM(B10:B14)</f>
        <v/>
      </c>
      <c r="C15" s="17" t="n"/>
      <c r="D15" s="18" t="n"/>
    </row>
    <row r="16">
      <c r="A16" s="6" t="inlineStr">
        <is>
          <t>Total Company Funded Debt</t>
        </is>
      </c>
      <c r="B16" s="7">
        <f>B8+B15</f>
        <v/>
      </c>
      <c r="C16" s="17" t="n"/>
      <c r="D16" s="18" t="n"/>
    </row>
    <row r="17">
      <c r="A17" s="6" t="inlineStr">
        <is>
          <t>Total Debtor Funded Debt</t>
        </is>
      </c>
      <c r="B17" s="7">
        <f>B9+B15</f>
        <v/>
      </c>
      <c r="C17" s="17" t="n"/>
      <c r="D17" s="18" t="n"/>
    </row>
    <row r="19">
      <c r="A19" s="8" t="inlineStr">
        <is>
          <t>Source: First-Day Declaration of A. Aiello, ¶49 (Doc. 26, filed 10/31/25, Case No. 25-90530, SDTX, Judge Lopez).</t>
        </is>
      </c>
    </row>
  </sheetData>
  <mergeCells count="7">
    <mergeCell ref="A1:D1"/>
    <mergeCell ref="B8:D8"/>
    <mergeCell ref="B17:D17"/>
    <mergeCell ref="B9:D9"/>
    <mergeCell ref="A19:D19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20" customWidth="1" min="5" max="5"/>
    <col width="16" customWidth="1" min="6" max="6"/>
    <col width="12" customWidth="1" min="7" max="7"/>
  </cols>
  <sheetData>
    <row r="1">
      <c r="A1" s="1" t="inlineStr">
        <is>
          <t>Cash Interest on the Capital Structure as of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Annual Interest ($m)</t>
        </is>
      </c>
      <c r="E2" s="9" t="inlineStr">
        <is>
          <t>Numeric Rate (helper)</t>
        </is>
      </c>
      <c r="F2" s="2" t="inlineStr">
        <is>
          <t>SOFR Rate</t>
        </is>
      </c>
      <c r="G2" s="10" t="n">
        <v>0.042</v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4">
        <f>B3*E3</f>
        <v/>
      </c>
      <c r="E3" s="11" t="n">
        <v>0.0779</v>
      </c>
      <c r="F3" s="12" t="inlineStr">
        <is>
          <t>(30-Day Average as of Petition Date)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4">
        <f>B4*E4</f>
        <v/>
      </c>
      <c r="E4" s="11">
        <f>$G$2+0.0350</f>
        <v/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4">
        <f>B5*E5</f>
        <v/>
      </c>
      <c r="E5" s="11" t="n">
        <v>0.09</v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4">
        <f>B6*E6</f>
        <v/>
      </c>
      <c r="E6" s="11" t="n">
        <v>0.09</v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4">
        <f>B7*E7</f>
        <v/>
      </c>
      <c r="E7" s="11" t="n">
        <v>0.0325</v>
      </c>
    </row>
    <row r="8">
      <c r="A8" s="3" t="inlineStr">
        <is>
          <t>Priority Guaranteed Notes</t>
        </is>
      </c>
      <c r="B8" s="4" t="n">
        <v>14.4</v>
      </c>
      <c r="C8" s="5" t="inlineStr">
        <is>
          <t>8.000%</t>
        </is>
      </c>
      <c r="D8" s="4">
        <f>B8*E8</f>
        <v/>
      </c>
      <c r="E8" s="11" t="n">
        <v>0.08</v>
      </c>
    </row>
    <row r="9">
      <c r="A9" s="3" t="inlineStr">
        <is>
          <t>Senior Notes due 2026</t>
        </is>
      </c>
      <c r="B9" s="4" t="n">
        <v>133.9</v>
      </c>
      <c r="C9" s="5" t="inlineStr">
        <is>
          <t>2.650%</t>
        </is>
      </c>
      <c r="D9" s="4">
        <f>B9*E9</f>
        <v/>
      </c>
      <c r="E9" s="11" t="n">
        <v>0.0265</v>
      </c>
    </row>
    <row r="10">
      <c r="A10" s="3" t="inlineStr">
        <is>
          <t>Senior Notes due 2027</t>
        </is>
      </c>
      <c r="B10" s="4" t="n">
        <v>78.3</v>
      </c>
      <c r="C10" s="5" t="inlineStr">
        <is>
          <t>2.400%</t>
        </is>
      </c>
      <c r="D10" s="4">
        <f>B10*E10</f>
        <v/>
      </c>
      <c r="E10" s="11" t="n">
        <v>0.024</v>
      </c>
    </row>
    <row r="11">
      <c r="A11" s="3" t="inlineStr">
        <is>
          <t>Senior Notes due 2031</t>
        </is>
      </c>
      <c r="B11" s="4" t="n">
        <v>102.4</v>
      </c>
      <c r="C11" s="5" t="inlineStr">
        <is>
          <t>3.450%</t>
        </is>
      </c>
      <c r="D11" s="4">
        <f>B11*E11</f>
        <v/>
      </c>
      <c r="E11" s="11" t="n">
        <v>0.0345</v>
      </c>
    </row>
    <row r="12">
      <c r="A12" s="3" t="inlineStr">
        <is>
          <t>Senior Notes due 2050</t>
        </is>
      </c>
      <c r="B12" s="4" t="n">
        <v>162</v>
      </c>
      <c r="C12" s="5" t="inlineStr">
        <is>
          <t>6.375%</t>
        </is>
      </c>
      <c r="D12" s="4">
        <f>B12*E12</f>
        <v/>
      </c>
      <c r="E12" s="11" t="n">
        <v>0.06375</v>
      </c>
    </row>
    <row r="13">
      <c r="A13" s="6" t="inlineStr">
        <is>
          <t>Total Principal Debt Amount</t>
        </is>
      </c>
      <c r="B13" s="7">
        <f>SUM(B3:B12)</f>
        <v/>
      </c>
      <c r="C13" s="17" t="n"/>
      <c r="D13" s="18" t="n"/>
      <c r="E13" s="6" t="n"/>
    </row>
    <row r="14">
      <c r="A14" s="6" t="inlineStr">
        <is>
          <t>Total Annual Cash Interest</t>
        </is>
      </c>
      <c r="B14" s="7">
        <f>SUM(D3:D12)</f>
        <v/>
      </c>
      <c r="C14" s="17" t="n"/>
      <c r="D14" s="18" t="n"/>
      <c r="E14" s="6" t="n"/>
    </row>
    <row r="16">
      <c r="A16" s="8" t="inlineStr">
        <is>
          <t>Notes: Credit Facility rate per ¶58 of First-Day Declaration is SOFR + 350 bps + 10 bps CSA. This build uses S+3.50% for simplicity (matches headline ¶49 disclosure).</t>
        </is>
      </c>
    </row>
    <row r="17">
      <c r="A17" s="8" t="inlineStr">
        <is>
          <t>SOFR assumption: change cell G2 to flex the Credit Facility's all-in rate.</t>
        </is>
      </c>
    </row>
  </sheetData>
  <mergeCells count="6">
    <mergeCell ref="F3:G3"/>
    <mergeCell ref="A1:D1"/>
    <mergeCell ref="B14:D14"/>
    <mergeCell ref="A17:G17"/>
    <mergeCell ref="B13:D13"/>
    <mergeCell ref="A16:G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</cols>
  <sheetData>
    <row r="1">
      <c r="A1" s="1" t="inlineStr">
        <is>
          <t>Total Debt / NOI Multiples &amp; Coverage</t>
        </is>
      </c>
    </row>
    <row r="3">
      <c r="A3" s="13" t="inlineStr">
        <is>
          <t>NOI Inputs (Cleansing Materials, p. 10)</t>
        </is>
      </c>
    </row>
    <row r="4">
      <c r="A4" t="inlineStr">
        <is>
          <t>TTM Cash Basis NOI (3/31/25)</t>
        </is>
      </c>
      <c r="B4" s="14" t="n">
        <v>230.7</v>
      </c>
      <c r="C4" t="inlineStr">
        <is>
          <t>$M</t>
        </is>
      </c>
    </row>
    <row r="5">
      <c r="A5" t="inlineStr">
        <is>
          <t>2025E Cash Basis NOI</t>
        </is>
      </c>
      <c r="B5" s="14" t="n">
        <v>216.4</v>
      </c>
      <c r="C5" t="inlineStr">
        <is>
          <t>$M</t>
        </is>
      </c>
    </row>
    <row r="6">
      <c r="A6" t="inlineStr">
        <is>
          <t>2026E Cash Basis NOI</t>
        </is>
      </c>
      <c r="B6" s="14" t="n">
        <v>211.3</v>
      </c>
      <c r="C6" t="inlineStr">
        <is>
          <t>$M</t>
        </is>
      </c>
    </row>
    <row r="8">
      <c r="A8" s="13" t="inlineStr">
        <is>
          <t>Debt Inputs (linked to Capital Structure tab)</t>
        </is>
      </c>
    </row>
    <row r="9">
      <c r="A9" t="inlineStr">
        <is>
          <t>Total Company Funded Debt</t>
        </is>
      </c>
      <c r="B9" s="14">
        <f>'Capital Structure'!B16</f>
        <v/>
      </c>
      <c r="C9" t="inlineStr">
        <is>
          <t>$M</t>
        </is>
      </c>
    </row>
    <row r="10">
      <c r="A10" t="inlineStr">
        <is>
          <t>Total Debtor Funded Debt</t>
        </is>
      </c>
      <c r="B10" s="14">
        <f>'Capital Structure'!B17</f>
        <v/>
      </c>
      <c r="C10" t="inlineStr">
        <is>
          <t>$M</t>
        </is>
      </c>
    </row>
    <row r="12">
      <c r="A12" s="13" t="inlineStr">
        <is>
          <t>Total Debt / NOI Multiples</t>
        </is>
      </c>
    </row>
    <row r="13">
      <c r="A13" s="2" t="inlineStr">
        <is>
          <t>Calculation</t>
        </is>
      </c>
      <c r="B13" s="2" t="inlineStr">
        <is>
          <t>Inputs</t>
        </is>
      </c>
      <c r="C13" s="2" t="inlineStr">
        <is>
          <t>Multiple</t>
        </is>
      </c>
    </row>
    <row r="14">
      <c r="A14" s="3" t="inlineStr">
        <is>
          <t>Total Company Debt / TTM NOI</t>
        </is>
      </c>
      <c r="B14" s="5">
        <f>B9&amp;" / "&amp;B4</f>
        <v/>
      </c>
      <c r="C14" s="15">
        <f>B9/B4</f>
        <v/>
      </c>
    </row>
    <row r="15">
      <c r="A15" s="3" t="inlineStr">
        <is>
          <t>Total Company Debt / 2025E NOI</t>
        </is>
      </c>
      <c r="B15" s="5">
        <f>B9&amp;" / "&amp;B5</f>
        <v/>
      </c>
      <c r="C15" s="15">
        <f>B9/B5</f>
        <v/>
      </c>
    </row>
    <row r="16">
      <c r="A16" s="3" t="inlineStr">
        <is>
          <t>Total Company Debt / 2026E NOI</t>
        </is>
      </c>
      <c r="B16" s="5">
        <f>B9&amp;" / "&amp;B6</f>
        <v/>
      </c>
      <c r="C16" s="15">
        <f>B9/B6</f>
        <v/>
      </c>
    </row>
    <row r="17">
      <c r="A17" s="3" t="inlineStr">
        <is>
          <t>Total Debtor Debt / TTM NOI</t>
        </is>
      </c>
      <c r="B17" s="5">
        <f>B10&amp;" / "&amp;B4</f>
        <v/>
      </c>
      <c r="C17" s="15">
        <f>B10/B4</f>
        <v/>
      </c>
    </row>
    <row r="18">
      <c r="A18" s="3" t="inlineStr">
        <is>
          <t>Total Debtor Debt / 2025E NOI</t>
        </is>
      </c>
      <c r="B18" s="5">
        <f>B10&amp;" / "&amp;B5</f>
        <v/>
      </c>
      <c r="C18" s="15">
        <f>B10/B5</f>
        <v/>
      </c>
    </row>
    <row r="19">
      <c r="A19" s="3" t="inlineStr">
        <is>
          <t>Total Debtor Debt / 2026E NOI</t>
        </is>
      </c>
      <c r="B19" s="5">
        <f>B10&amp;" / "&amp;B6</f>
        <v/>
      </c>
      <c r="C19" s="15">
        <f>B10/B6</f>
        <v/>
      </c>
    </row>
    <row r="21">
      <c r="A21" s="13" t="inlineStr">
        <is>
          <t>Coverage Ratios</t>
        </is>
      </c>
    </row>
    <row r="22">
      <c r="A22" s="3" t="inlineStr">
        <is>
          <t>Cash Interest as % of TTM NOI</t>
        </is>
      </c>
      <c r="B22" s="16">
        <f>'Cash Interest'!B14/B4</f>
        <v/>
      </c>
      <c r="C22" s="3" t="n"/>
    </row>
    <row r="23">
      <c r="A23" s="3" t="inlineStr">
        <is>
          <t>NOI / Cash Interest (interest coverage)</t>
        </is>
      </c>
      <c r="B23" s="15">
        <f>B4/'Cash Interest'!B14</f>
        <v/>
      </c>
      <c r="C23" s="3" t="n"/>
    </row>
    <row r="25">
      <c r="A25" s="8" t="inlineStr">
        <is>
          <t>Note: TTM NOI of $230.7M from the Cleansing Materials silo summary p. 10 (sum of all silos). 2025/2026E from projection page.</t>
        </is>
      </c>
    </row>
  </sheetData>
  <mergeCells count="6">
    <mergeCell ref="A25:C25"/>
    <mergeCell ref="A1:C1"/>
    <mergeCell ref="A8:C8"/>
    <mergeCell ref="A3:C3"/>
    <mergeCell ref="A21:C21"/>
    <mergeCell ref="A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3" customWidth="1" min="3" max="3"/>
    <col width="9" customWidth="1" min="4" max="4"/>
    <col width="12" customWidth="1" min="5" max="5"/>
    <col width="11" customWidth="1" min="6" max="6"/>
    <col width="18" customWidth="1" min="7" max="7"/>
    <col width="18" customWidth="1" min="8" max="8"/>
    <col width="12" customWidth="1" min="9" max="9"/>
    <col width="14" customWidth="1" min="10" max="10"/>
  </cols>
  <sheetData>
    <row r="1">
      <c r="A1" s="19" t="inlineStr">
        <is>
          <t>Operating &amp; Financial Metrics by Collateral Pool (as of 3/31/25)</t>
        </is>
      </c>
    </row>
    <row r="2">
      <c r="A2" s="2" t="inlineStr">
        <is>
          <t>Silo</t>
        </is>
      </c>
      <c r="B2" s="2" t="inlineStr">
        <is>
          <t># Props</t>
        </is>
      </c>
      <c r="C2" s="2" t="inlineStr">
        <is>
          <t>Sq Ft (000s)</t>
        </is>
      </c>
      <c r="D2" s="2" t="inlineStr">
        <is>
          <t>Occ %</t>
        </is>
      </c>
      <c r="E2" s="2" t="inlineStr">
        <is>
          <t>WALT (yrs)</t>
        </is>
      </c>
      <c r="F2" s="2" t="inlineStr">
        <is>
          <t>ARI ($M)</t>
        </is>
      </c>
      <c r="G2" s="2" t="inlineStr">
        <is>
          <t>TTM Cash NOI ($M)</t>
        </is>
      </c>
      <c r="H2" s="2" t="inlineStr">
        <is>
          <t>Leasing Capex ($M)</t>
        </is>
      </c>
      <c r="I2" s="2" t="inlineStr">
        <is>
          <t>GBV ($M)</t>
        </is>
      </c>
      <c r="J2" s="2" t="inlineStr">
        <is>
          <t>1L Debt ($M)</t>
        </is>
      </c>
    </row>
    <row r="3">
      <c r="A3" s="20" t="inlineStr">
        <is>
          <t>Non-Debtor CMBS</t>
        </is>
      </c>
      <c r="B3" s="21" t="n">
        <v>7</v>
      </c>
      <c r="C3" s="21" t="n">
        <v>1334</v>
      </c>
      <c r="D3" s="22" t="n">
        <v>1</v>
      </c>
      <c r="E3" s="23" t="n">
        <v>11</v>
      </c>
      <c r="F3" s="24" t="n">
        <v>32.2</v>
      </c>
      <c r="G3" s="24" t="n">
        <v>23.3</v>
      </c>
      <c r="H3" s="24" t="n">
        <v>8.300000000000001</v>
      </c>
      <c r="I3" s="24" t="n">
        <v>305.5</v>
      </c>
      <c r="J3" s="24" t="n">
        <v>177.3</v>
      </c>
    </row>
    <row r="4">
      <c r="A4" s="20" t="inlineStr">
        <is>
          <t>Credit Agreement</t>
        </is>
      </c>
      <c r="B4" s="21" t="n">
        <v>19</v>
      </c>
      <c r="C4" s="21" t="n">
        <v>3603</v>
      </c>
      <c r="D4" s="22" t="n">
        <v>0.93</v>
      </c>
      <c r="E4" s="23" t="n">
        <v>7</v>
      </c>
      <c r="F4" s="24" t="n">
        <v>110.3</v>
      </c>
      <c r="G4" s="24" t="n">
        <v>65.5</v>
      </c>
      <c r="H4" s="24" t="n">
        <v>12.1</v>
      </c>
      <c r="I4" s="24" t="n">
        <v>1031.5</v>
      </c>
      <c r="J4" s="24" t="n">
        <v>425</v>
      </c>
    </row>
    <row r="5">
      <c r="A5" s="20" t="inlineStr">
        <is>
          <t>March 2029 Notes</t>
        </is>
      </c>
      <c r="B5" s="21" t="n">
        <v>17</v>
      </c>
      <c r="C5" s="21" t="n">
        <v>2126</v>
      </c>
      <c r="D5" s="22" t="n">
        <v>0.98</v>
      </c>
      <c r="E5" s="23" t="n">
        <v>8.9</v>
      </c>
      <c r="F5" s="24" t="n">
        <v>68</v>
      </c>
      <c r="G5" s="24" t="n">
        <v>39.5</v>
      </c>
      <c r="H5" s="24" t="n">
        <v>4.6</v>
      </c>
      <c r="I5" s="24" t="n">
        <v>624.9</v>
      </c>
      <c r="J5" s="24" t="n">
        <v>300</v>
      </c>
    </row>
    <row r="6">
      <c r="A6" s="20" t="inlineStr">
        <is>
          <t>September 2029 Notes</t>
        </is>
      </c>
      <c r="B6" s="21" t="n">
        <v>19</v>
      </c>
      <c r="C6" s="21" t="n">
        <v>3218</v>
      </c>
      <c r="D6" s="22" t="n">
        <v>0.83</v>
      </c>
      <c r="E6" s="23" t="n">
        <v>7.5</v>
      </c>
      <c r="F6" s="24" t="n">
        <v>66.3</v>
      </c>
      <c r="G6" s="24" t="n">
        <v>29.3</v>
      </c>
      <c r="H6" s="24" t="n">
        <v>31.9</v>
      </c>
      <c r="I6" s="24" t="n">
        <v>721.3</v>
      </c>
      <c r="J6" s="24" t="n">
        <v>610</v>
      </c>
    </row>
    <row r="7">
      <c r="A7" s="20" t="inlineStr">
        <is>
          <t>March 2027 Notes</t>
        </is>
      </c>
      <c r="B7" s="21" t="n">
        <v>35</v>
      </c>
      <c r="C7" s="21" t="n">
        <v>4125</v>
      </c>
      <c r="D7" s="22" t="n">
        <v>0.7</v>
      </c>
      <c r="E7" s="23" t="n">
        <v>4.7</v>
      </c>
      <c r="F7" s="24" t="n">
        <v>80.5</v>
      </c>
      <c r="G7" s="24" t="n">
        <v>47.4</v>
      </c>
      <c r="H7" s="24" t="n">
        <v>12.2</v>
      </c>
      <c r="I7" s="24" t="n">
        <v>1240.7</v>
      </c>
      <c r="J7" s="24" t="n">
        <v>418</v>
      </c>
    </row>
    <row r="8">
      <c r="A8" s="20" t="inlineStr">
        <is>
          <t>Unencumbered</t>
        </is>
      </c>
      <c r="B8" s="21" t="n">
        <v>25</v>
      </c>
      <c r="C8" s="21" t="n">
        <v>2712</v>
      </c>
      <c r="D8" s="22" t="n">
        <v>0.64</v>
      </c>
      <c r="E8" s="23" t="n">
        <v>3.4</v>
      </c>
      <c r="F8" s="24" t="n">
        <v>47.7</v>
      </c>
      <c r="G8" s="24" t="n">
        <v>25.7</v>
      </c>
      <c r="H8" s="24" t="n">
        <v>9.300000000000001</v>
      </c>
      <c r="I8" s="24" t="n">
        <v>650.6</v>
      </c>
      <c r="J8" s="24" t="n">
        <v>0</v>
      </c>
    </row>
    <row r="9">
      <c r="A9" s="25" t="inlineStr">
        <is>
          <t>Total / Average</t>
        </is>
      </c>
      <c r="B9" s="26">
        <f>SUM(B3:B8)</f>
        <v/>
      </c>
      <c r="C9" s="26">
        <f>SUM(C3:C8)</f>
        <v/>
      </c>
      <c r="D9" s="27">
        <f>SUMPRODUCT(D3:D8,C3:C8)/SUM(C3:C8)</f>
        <v/>
      </c>
      <c r="E9" s="28">
        <f>SUMPRODUCT(E3:E8,F3:F8)/SUM(F3:F8)</f>
        <v/>
      </c>
      <c r="F9" s="7">
        <f>SUM(F3:F8)</f>
        <v/>
      </c>
      <c r="G9" s="7">
        <f>SUM(G3:G8)</f>
        <v/>
      </c>
      <c r="H9" s="7">
        <f>SUM(H3:H8)</f>
        <v/>
      </c>
      <c r="I9" s="7">
        <f>SUM(I3:I8)</f>
        <v/>
      </c>
      <c r="J9" s="7">
        <f>SUM(J3:J8)</f>
        <v/>
      </c>
    </row>
    <row r="11">
      <c r="A11" s="8" t="inlineStr">
        <is>
          <t>Source: Cleansing Materials p. 10 ('Operating &amp; Financial Metrics by Collateral Pool'), as of 3/31/25.</t>
        </is>
      </c>
    </row>
    <row r="12">
      <c r="A12" s="8" t="inlineStr">
        <is>
          <t>Note: 122 properties = 124 wholly-owned − 2 active dispositions. 1L Debt for non-Debtor CMBS = $177.3M aggregate UBS+JPM. Unencumbered has no debt.</t>
        </is>
      </c>
    </row>
  </sheetData>
  <mergeCells count="3">
    <mergeCell ref="A1:J1"/>
    <mergeCell ref="A12:J12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</cols>
  <sheetData>
    <row r="1">
      <c r="A1" s="19" t="inlineStr">
        <is>
          <t>Silo Coverage Metrics (Book Value Basis)</t>
        </is>
      </c>
    </row>
    <row r="2">
      <c r="A2" s="2" t="inlineStr">
        <is>
          <t>Silo</t>
        </is>
      </c>
      <c r="B2" s="2" t="inlineStr">
        <is>
          <t>1L Debt ($M)</t>
        </is>
      </c>
      <c r="C2" s="2" t="inlineStr">
        <is>
          <t>GBV ($M)</t>
        </is>
      </c>
      <c r="D2" s="2" t="inlineStr">
        <is>
          <t>TTM NOI ($M)</t>
        </is>
      </c>
      <c r="E2" s="2" t="inlineStr">
        <is>
          <t>GBV / Debt</t>
        </is>
      </c>
      <c r="F2" s="2" t="inlineStr">
        <is>
          <t>Debt / GBV (LTV)</t>
        </is>
      </c>
      <c r="G2" s="2" t="inlineStr">
        <is>
          <t>Debt / NOI</t>
        </is>
      </c>
      <c r="H2" s="2" t="inlineStr">
        <is>
          <t>NOI Yield (NOI/GBV)</t>
        </is>
      </c>
    </row>
    <row r="3">
      <c r="A3" s="20">
        <f>'Silo Allocation'!A3</f>
        <v/>
      </c>
      <c r="B3" s="24">
        <f>'Silo Allocation'!J3</f>
        <v/>
      </c>
      <c r="C3" s="24">
        <f>'Silo Allocation'!I3</f>
        <v/>
      </c>
      <c r="D3" s="24">
        <f>'Silo Allocation'!G3</f>
        <v/>
      </c>
      <c r="E3" s="15">
        <f>C3/B3</f>
        <v/>
      </c>
      <c r="F3" s="29">
        <f>B3/C3</f>
        <v/>
      </c>
      <c r="G3" s="30">
        <f>B3/D3</f>
        <v/>
      </c>
      <c r="H3" s="31">
        <f>D3/C3</f>
        <v/>
      </c>
    </row>
    <row r="4">
      <c r="A4" s="20">
        <f>'Silo Allocation'!A4</f>
        <v/>
      </c>
      <c r="B4" s="24">
        <f>'Silo Allocation'!J4</f>
        <v/>
      </c>
      <c r="C4" s="24">
        <f>'Silo Allocation'!I4</f>
        <v/>
      </c>
      <c r="D4" s="24">
        <f>'Silo Allocation'!G4</f>
        <v/>
      </c>
      <c r="E4" s="15">
        <f>C4/B4</f>
        <v/>
      </c>
      <c r="F4" s="31">
        <f>B4/C4</f>
        <v/>
      </c>
      <c r="G4" s="30">
        <f>B4/D4</f>
        <v/>
      </c>
      <c r="H4" s="29">
        <f>D4/C4</f>
        <v/>
      </c>
    </row>
    <row r="5">
      <c r="A5" s="20">
        <f>'Silo Allocation'!A5</f>
        <v/>
      </c>
      <c r="B5" s="24">
        <f>'Silo Allocation'!J5</f>
        <v/>
      </c>
      <c r="C5" s="24">
        <f>'Silo Allocation'!I5</f>
        <v/>
      </c>
      <c r="D5" s="24">
        <f>'Silo Allocation'!G5</f>
        <v/>
      </c>
      <c r="E5" s="15">
        <f>C5/B5</f>
        <v/>
      </c>
      <c r="F5" s="31">
        <f>B5/C5</f>
        <v/>
      </c>
      <c r="G5" s="30">
        <f>B5/D5</f>
        <v/>
      </c>
      <c r="H5" s="29">
        <f>D5/C5</f>
        <v/>
      </c>
    </row>
    <row r="6">
      <c r="A6" s="20">
        <f>'Silo Allocation'!A6</f>
        <v/>
      </c>
      <c r="B6" s="24">
        <f>'Silo Allocation'!J6</f>
        <v/>
      </c>
      <c r="C6" s="24">
        <f>'Silo Allocation'!I6</f>
        <v/>
      </c>
      <c r="D6" s="24">
        <f>'Silo Allocation'!G6</f>
        <v/>
      </c>
      <c r="E6" s="15">
        <f>C6/B6</f>
        <v/>
      </c>
      <c r="F6" s="32">
        <f>B6/C6</f>
        <v/>
      </c>
      <c r="G6" s="30">
        <f>B6/D6</f>
        <v/>
      </c>
      <c r="H6" s="32">
        <f>D6/C6</f>
        <v/>
      </c>
    </row>
    <row r="7">
      <c r="A7" s="20">
        <f>'Silo Allocation'!A7</f>
        <v/>
      </c>
      <c r="B7" s="24">
        <f>'Silo Allocation'!J7</f>
        <v/>
      </c>
      <c r="C7" s="24">
        <f>'Silo Allocation'!I7</f>
        <v/>
      </c>
      <c r="D7" s="24">
        <f>'Silo Allocation'!G7</f>
        <v/>
      </c>
      <c r="E7" s="15">
        <f>C7/B7</f>
        <v/>
      </c>
      <c r="F7" s="31">
        <f>B7/C7</f>
        <v/>
      </c>
      <c r="G7" s="30">
        <f>B7/D7</f>
        <v/>
      </c>
      <c r="H7" s="32">
        <f>D7/C7</f>
        <v/>
      </c>
    </row>
    <row r="8">
      <c r="A8" s="20">
        <f>'Silo Allocation'!A8</f>
        <v/>
      </c>
      <c r="B8" s="24">
        <f>'Silo Allocation'!J8</f>
        <v/>
      </c>
      <c r="C8" s="24">
        <f>'Silo Allocation'!I8</f>
        <v/>
      </c>
      <c r="D8" s="24">
        <f>'Silo Allocation'!G8</f>
        <v/>
      </c>
      <c r="E8" s="5" t="inlineStr">
        <is>
          <t>n/a</t>
        </is>
      </c>
      <c r="F8" s="5" t="inlineStr">
        <is>
          <t>n/a</t>
        </is>
      </c>
      <c r="G8" s="5" t="inlineStr">
        <is>
          <t>n/a</t>
        </is>
      </c>
      <c r="H8" s="16">
        <f>D8/C8</f>
        <v/>
      </c>
    </row>
    <row r="9">
      <c r="A9" s="25" t="inlineStr">
        <is>
          <t>Total / Average</t>
        </is>
      </c>
      <c r="B9" s="7">
        <f>'Silo Allocation'!J9</f>
        <v/>
      </c>
      <c r="C9" s="7">
        <f>'Silo Allocation'!I9</f>
        <v/>
      </c>
      <c r="D9" s="7">
        <f>'Silo Allocation'!G9</f>
        <v/>
      </c>
      <c r="E9" s="33">
        <f>C9/B9</f>
        <v/>
      </c>
      <c r="F9" s="34">
        <f>B9/C9</f>
        <v/>
      </c>
      <c r="G9" s="35">
        <f>B9/D9</f>
        <v/>
      </c>
      <c r="H9" s="34">
        <f>D9/C9</f>
        <v/>
      </c>
    </row>
    <row r="11">
      <c r="A11" s="8" t="inlineStr">
        <is>
          <t>Color guide: LTV &lt; 50% (well-covered) | LTV 50–75% (moderate) | LTV &gt; 75% (stressed). NOI Yield reflects implied book cap rate; &lt;5% suggests GBV overstatement vs. office market cap rates of 8–10%+.</t>
        </is>
      </c>
    </row>
  </sheetData>
  <mergeCells count="2">
    <mergeCell ref="A11:H11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6" customWidth="1" min="3" max="3"/>
    <col width="22" customWidth="1" min="4" max="4"/>
    <col width="14" customWidth="1" min="5" max="5"/>
    <col width="22" customWidth="1" min="6" max="6"/>
    <col width="22" customWidth="1" min="7" max="7"/>
  </cols>
  <sheetData>
    <row r="1">
      <c r="A1" s="19" t="inlineStr">
        <is>
          <t>Market Value Sensitivity — NOI Capitalized at Office Market Rates</t>
        </is>
      </c>
    </row>
    <row r="3">
      <c r="A3" s="6" t="inlineStr">
        <is>
          <t>Cap Rate Assumption (flex)</t>
        </is>
      </c>
      <c r="B3" s="36" t="n">
        <v>0.08500000000000001</v>
      </c>
    </row>
    <row r="4">
      <c r="A4" s="8" t="inlineStr">
        <is>
          <t>(Office cap rates currently trade 8–10%+; suburban older office can be 10–12%+)</t>
        </is>
      </c>
    </row>
    <row r="6">
      <c r="A6" s="2" t="inlineStr">
        <is>
          <t>Silo</t>
        </is>
      </c>
      <c r="B6" s="2" t="inlineStr">
        <is>
          <t>TTM NOI ($M)</t>
        </is>
      </c>
      <c r="C6" s="2" t="inlineStr">
        <is>
          <t>GBV ($M)</t>
        </is>
      </c>
      <c r="D6" s="2" t="inlineStr">
        <is>
          <t>Implied Mkt Value ($M)</t>
        </is>
      </c>
      <c r="E6" s="2" t="inlineStr">
        <is>
          <t>1L Debt ($M)</t>
        </is>
      </c>
      <c r="F6" s="2" t="inlineStr">
        <is>
          <t>Mkt Value / Debt</t>
        </is>
      </c>
      <c r="G6" s="2" t="inlineStr">
        <is>
          <t>Mkt LTV</t>
        </is>
      </c>
    </row>
    <row r="7">
      <c r="A7" s="20">
        <f>'Silo Allocation'!A3</f>
        <v/>
      </c>
      <c r="B7" s="24">
        <f>'Silo Allocation'!G3</f>
        <v/>
      </c>
      <c r="C7" s="24">
        <f>'Silo Allocation'!I3</f>
        <v/>
      </c>
      <c r="D7" s="24">
        <f>B7/$B$3</f>
        <v/>
      </c>
      <c r="E7" s="24">
        <f>'Silo Allocation'!J3</f>
        <v/>
      </c>
      <c r="F7" s="15">
        <f>D7/E7</f>
        <v/>
      </c>
      <c r="G7" s="16">
        <f>E7/D7</f>
        <v/>
      </c>
    </row>
    <row r="8">
      <c r="A8" s="20">
        <f>'Silo Allocation'!A4</f>
        <v/>
      </c>
      <c r="B8" s="24">
        <f>'Silo Allocation'!G4</f>
        <v/>
      </c>
      <c r="C8" s="24">
        <f>'Silo Allocation'!I4</f>
        <v/>
      </c>
      <c r="D8" s="24">
        <f>B8/$B$3</f>
        <v/>
      </c>
      <c r="E8" s="24">
        <f>'Silo Allocation'!J4</f>
        <v/>
      </c>
      <c r="F8" s="15">
        <f>D8/E8</f>
        <v/>
      </c>
      <c r="G8" s="16">
        <f>E8/D8</f>
        <v/>
      </c>
    </row>
    <row r="9">
      <c r="A9" s="20">
        <f>'Silo Allocation'!A5</f>
        <v/>
      </c>
      <c r="B9" s="24">
        <f>'Silo Allocation'!G5</f>
        <v/>
      </c>
      <c r="C9" s="24">
        <f>'Silo Allocation'!I5</f>
        <v/>
      </c>
      <c r="D9" s="24">
        <f>B9/$B$3</f>
        <v/>
      </c>
      <c r="E9" s="24">
        <f>'Silo Allocation'!J5</f>
        <v/>
      </c>
      <c r="F9" s="15">
        <f>D9/E9</f>
        <v/>
      </c>
      <c r="G9" s="16">
        <f>E9/D9</f>
        <v/>
      </c>
    </row>
    <row r="10">
      <c r="A10" s="20">
        <f>'Silo Allocation'!A6</f>
        <v/>
      </c>
      <c r="B10" s="24">
        <f>'Silo Allocation'!G6</f>
        <v/>
      </c>
      <c r="C10" s="24">
        <f>'Silo Allocation'!I6</f>
        <v/>
      </c>
      <c r="D10" s="24">
        <f>B10/$B$3</f>
        <v/>
      </c>
      <c r="E10" s="24">
        <f>'Silo Allocation'!J6</f>
        <v/>
      </c>
      <c r="F10" s="15">
        <f>D10/E10</f>
        <v/>
      </c>
      <c r="G10" s="16">
        <f>E10/D10</f>
        <v/>
      </c>
    </row>
    <row r="11">
      <c r="A11" s="20">
        <f>'Silo Allocation'!A7</f>
        <v/>
      </c>
      <c r="B11" s="24">
        <f>'Silo Allocation'!G7</f>
        <v/>
      </c>
      <c r="C11" s="24">
        <f>'Silo Allocation'!I7</f>
        <v/>
      </c>
      <c r="D11" s="24">
        <f>B11/$B$3</f>
        <v/>
      </c>
      <c r="E11" s="24">
        <f>'Silo Allocation'!J7</f>
        <v/>
      </c>
      <c r="F11" s="15">
        <f>D11/E11</f>
        <v/>
      </c>
      <c r="G11" s="16">
        <f>E11/D11</f>
        <v/>
      </c>
    </row>
    <row r="12">
      <c r="A12" s="20">
        <f>'Silo Allocation'!A8</f>
        <v/>
      </c>
      <c r="B12" s="24">
        <f>'Silo Allocation'!G8</f>
        <v/>
      </c>
      <c r="C12" s="24">
        <f>'Silo Allocation'!I8</f>
        <v/>
      </c>
      <c r="D12" s="24">
        <f>B12/$B$3</f>
        <v/>
      </c>
      <c r="E12" s="24">
        <f>'Silo Allocation'!J8</f>
        <v/>
      </c>
      <c r="F12" s="5" t="inlineStr">
        <is>
          <t>n/a</t>
        </is>
      </c>
      <c r="G12" s="5" t="inlineStr">
        <is>
          <t>n/a</t>
        </is>
      </c>
    </row>
    <row r="13">
      <c r="A13" s="25" t="inlineStr">
        <is>
          <t>Total</t>
        </is>
      </c>
      <c r="B13" s="7">
        <f>'Silo Allocation'!G9</f>
        <v/>
      </c>
      <c r="C13" s="7">
        <f>'Silo Allocation'!I9</f>
        <v/>
      </c>
      <c r="D13" s="7">
        <f>B13/$B$3</f>
        <v/>
      </c>
      <c r="E13" s="7">
        <f>'Silo Allocation'!J9</f>
        <v/>
      </c>
      <c r="F13" s="33">
        <f>D13/E13</f>
        <v/>
      </c>
      <c r="G13" s="34">
        <f>E13/D13</f>
        <v/>
      </c>
    </row>
    <row r="15">
      <c r="A15" s="19" t="inlineStr">
        <is>
          <t>Effective Coverage Including 2L Overlays (book and market basis)</t>
        </is>
      </c>
    </row>
    <row r="16">
      <c r="A16" s="2" t="inlineStr">
        <is>
          <t>Silo / Layer</t>
        </is>
      </c>
      <c r="B16" s="2" t="inlineStr">
        <is>
          <t>1L Collateral GBV ($M)</t>
        </is>
      </c>
      <c r="C16" s="2" t="inlineStr">
        <is>
          <t>2L Collateral After Senior ($M)</t>
        </is>
      </c>
      <c r="D16" s="2" t="inlineStr">
        <is>
          <t>Total Effective GBV ($M)</t>
        </is>
      </c>
      <c r="E16" s="2" t="inlineStr">
        <is>
          <t>Debt ($M)</t>
        </is>
      </c>
      <c r="F16" s="2" t="inlineStr">
        <is>
          <t>Effective Book Coverage</t>
        </is>
      </c>
      <c r="G16" s="2" t="inlineStr">
        <is>
          <t>Effective Mkt Coverage</t>
        </is>
      </c>
    </row>
    <row r="17">
      <c r="A17" s="20" t="inlineStr">
        <is>
          <t>September 2029 Notes (1L + 2L on Credit Fac)</t>
        </is>
      </c>
      <c r="B17" s="24" t="n">
        <v>721.3</v>
      </c>
      <c r="C17" s="24">
        <f>1031.5-425</f>
        <v/>
      </c>
      <c r="D17" s="24">
        <f>B17+C17</f>
        <v/>
      </c>
      <c r="E17" s="24" t="n">
        <v>610</v>
      </c>
      <c r="F17" s="15">
        <f>D17/E17</f>
        <v/>
      </c>
      <c r="G17" s="15">
        <f>(29.3/$B$3 + MAX(0, 65.5/$B$3 - 425))/E17</f>
        <v/>
      </c>
    </row>
    <row r="18">
      <c r="A18" s="20" t="inlineStr">
        <is>
          <t>March 2027 Notes (1L + 2L on Sept 2029)</t>
        </is>
      </c>
      <c r="B18" s="24" t="n">
        <v>1240.7</v>
      </c>
      <c r="C18" s="24">
        <f>MAX(0, 721.3-610)</f>
        <v/>
      </c>
      <c r="D18" s="24">
        <f>B18+C18</f>
        <v/>
      </c>
      <c r="E18" s="24" t="n">
        <v>418</v>
      </c>
      <c r="F18" s="15">
        <f>D18/E18</f>
        <v/>
      </c>
      <c r="G18" s="15">
        <f>(47.4/$B$3 + MAX(0, 29.3/$B$3 - 610))/E18</f>
        <v/>
      </c>
    </row>
    <row r="20">
      <c r="A20" s="8" t="inlineStr">
        <is>
          <t>Note: Market values calculated as NOI / cap rate. Effective Mkt Coverage assumes 2L only recovers after 1L claim is fully satisfied at market values. Flex cell B3 to test sensitivity.</t>
        </is>
      </c>
    </row>
  </sheetData>
  <mergeCells count="4">
    <mergeCell ref="A15:G15"/>
    <mergeCell ref="A20:G20"/>
    <mergeCell ref="A1:G1"/>
    <mergeCell ref="A4:G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60" customWidth="1" min="3" max="3"/>
    <col width="50" customWidth="1" min="4" max="4"/>
  </cols>
  <sheetData>
    <row r="1">
      <c r="A1" s="19" t="inlineStr">
        <is>
          <t>Silo Ranking — Most- to Least-Collateralized</t>
        </is>
      </c>
    </row>
    <row r="2">
      <c r="A2" s="2" t="inlineStr">
        <is>
          <t>Rank</t>
        </is>
      </c>
      <c r="B2" s="2" t="inlineStr">
        <is>
          <t>Silo</t>
        </is>
      </c>
      <c r="C2" s="2" t="inlineStr">
        <is>
          <t>Verdict</t>
        </is>
      </c>
      <c r="D2" s="2" t="inlineStr">
        <is>
          <t>Key Metrics</t>
        </is>
      </c>
    </row>
    <row r="3" ht="50" customHeight="1">
      <c r="A3" s="37" t="inlineStr">
        <is>
          <t>1 (Best)</t>
        </is>
      </c>
      <c r="B3" s="38" t="inlineStr">
        <is>
          <t>Credit Facility</t>
        </is>
      </c>
      <c r="C3" s="38" t="inlineStr">
        <is>
          <t>Highest-quality assets, lowest LTV on book and market, in-line cap rate; declaration calls these 'highest-quality assets at low LTV'</t>
        </is>
      </c>
      <c r="D3" s="38" t="inlineStr">
        <is>
          <t>41% book LTV; 1.81x mkt cov @ 8.5% cap; 93% occ; 7.0-yr WALT; 6.3% NOI yield</t>
        </is>
      </c>
    </row>
    <row r="4" ht="50" customHeight="1">
      <c r="A4" s="37" t="inlineStr">
        <is>
          <t>2</t>
        </is>
      </c>
      <c r="B4" s="38" t="inlineStr">
        <is>
          <t>March 2029 Notes</t>
        </is>
      </c>
      <c r="C4" s="38" t="inlineStr">
        <is>
          <t>Strong book and market coverage; clean 1L position with no 2L overlay; high-quality assets</t>
        </is>
      </c>
      <c r="D4" s="38" t="inlineStr">
        <is>
          <t>48% book LTV; 1.55x mkt cov; 98% occ; 8.9-yr WALT; 6.3% NOI yield</t>
        </is>
      </c>
    </row>
    <row r="5" ht="50" customHeight="1">
      <c r="A5" s="37" t="inlineStr">
        <is>
          <t>3</t>
        </is>
      </c>
      <c r="B5" s="38" t="inlineStr">
        <is>
          <t>March 2027 Notes</t>
        </is>
      </c>
      <c r="C5" s="38" t="inlineStr">
        <is>
          <t>High book cushion (2.97x) but lowest-quality assets and most overstated GBV; getting offered the keys under RSA</t>
        </is>
      </c>
      <c r="D5" s="38" t="inlineStr">
        <is>
          <t>34% book LTV but 3.8% NOI yield; 70% occ; 4.7-yr WALT (shortest)</t>
        </is>
      </c>
    </row>
    <row r="6" ht="50" customHeight="1">
      <c r="A6" s="37" t="inlineStr">
        <is>
          <t>4</t>
        </is>
      </c>
      <c r="B6" s="38" t="inlineStr">
        <is>
          <t>Non-Debtor CMBS</t>
        </is>
      </c>
      <c r="C6" s="38" t="inlineStr">
        <is>
          <t>Decent on both metrics; non-recourse to estate so doesn't matter for in-case recoveries</t>
        </is>
      </c>
      <c r="D6" s="38" t="inlineStr">
        <is>
          <t>58% book LTV; 1.55x mkt cov; 100% occ; 11.0-yr WALT; 7.6% NOI yield</t>
        </is>
      </c>
    </row>
    <row r="7" ht="50" customHeight="1">
      <c r="A7" s="37" t="inlineStr">
        <is>
          <t>5 (Worst)</t>
        </is>
      </c>
      <c r="B7" s="38" t="inlineStr">
        <is>
          <t>September 2029 Notes</t>
        </is>
      </c>
      <c r="C7" s="38" t="inlineStr">
        <is>
          <t>Underwater on market value (1L only); 4.1% NOI yield exposes massive book overstatement; only saved by 2L overlay on Credit Fac and the RSA debt-for-equity conversion</t>
        </is>
      </c>
      <c r="D7" s="38" t="inlineStr">
        <is>
          <t>85% book LTV; 0.57x mkt cov on 1L only; 4.1% NOI yield; 20.8x Debt/NOI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2026-05-05T01:13:55Z</dcterms:created>
  <dcterms:modified xsi:type="dcterms:W3CDTF">2026-05-05T02:10:12Z</dcterms:modified>
</cp:coreProperties>
</file>