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Down DSCR" sheetId="1" state="visible" r:id="rId1"/>
    <sheet name="Bottom-Up Cap Struct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0&quot;x&quot;"/>
    <numFmt numFmtId="167" formatCode="#,##0.0;(#,##0.0)"/>
    <numFmt numFmtId="168" formatCode="$#,##0&quot;M&quot;"/>
  </numFmts>
  <fonts count="6">
    <font>
      <name val="Calibri"/>
      <family val="2"/>
      <color theme="1"/>
      <sz val="11"/>
      <scheme val="minor"/>
    </font>
    <font>
      <b val="1"/>
      <color rgb="007B1113"/>
      <sz val="14"/>
    </font>
    <font>
      <i val="1"/>
      <color rgb="00595959"/>
      <sz val="9"/>
    </font>
    <font>
      <b val="1"/>
      <sz val="11"/>
    </font>
    <font>
      <color rgb="000070C0"/>
      <sz val="1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7B111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0" fillId="0" borderId="0" applyAlignment="1" pivotButton="0" quotePrefix="0" xfId="0">
      <alignment horizontal="center" vertical="center"/>
    </xf>
    <xf numFmtId="165" fontId="3" fillId="0" borderId="0" pivotButton="0" quotePrefix="0" xfId="0"/>
    <xf numFmtId="166" fontId="3" fillId="0" borderId="0" pivotButton="0" quotePrefix="0" xfId="0"/>
    <xf numFmtId="167" fontId="4" fillId="0" borderId="0" pivotButton="0" quotePrefix="0" xfId="0"/>
    <xf numFmtId="167" fontId="3" fillId="2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3" fontId="3" fillId="0" borderId="1" pivotButton="0" quotePrefix="0" xfId="0"/>
    <xf numFmtId="0" fontId="2" fillId="0" borderId="1" pivotButton="0" quotePrefix="0" xfId="0"/>
    <xf numFmtId="168" fontId="3" fillId="0" borderId="0" pivotButton="0" quotePrefix="0" xfId="0"/>
    <xf numFmtId="166" fontId="0" fillId="0" borderId="0" pivotButton="0" quotePrefix="0" xfId="0"/>
    <xf numFmtId="0" fontId="5" fillId="3" borderId="0" pivotButton="0" quotePrefix="0" xfId="0"/>
    <xf numFmtId="0" fontId="0" fillId="0" borderId="0" applyAlignment="1" pivotButton="0" quotePrefix="0" xfId="0">
      <alignment vertical="top" wrapText="1"/>
    </xf>
    <xf numFmtId="10" fontId="4" fillId="0" borderId="0" pivotButton="0" quotePrefix="0" xfId="0"/>
    <xf numFmtId="3" fontId="4" fillId="0" borderId="0" pivotButton="0" quotePrefix="0" xfId="0"/>
    <xf numFmtId="3" fontId="0" fillId="0" borderId="1" pivotButton="0" quotePrefix="0" xfId="0"/>
    <xf numFmtId="10" fontId="0" fillId="0" borderId="1" pivotButton="0" quotePrefix="0" xfId="0"/>
    <xf numFmtId="0" fontId="3" fillId="2" borderId="1" pivotButton="0" quotePrefix="0" xfId="0"/>
    <xf numFmtId="3" fontId="3" fillId="2" borderId="1" pivotButton="0" quotePrefix="0" xfId="0"/>
    <xf numFmtId="10" fontId="3" fillId="2" borderId="1" pivotButton="0" quotePrefix="0" xfId="0"/>
    <xf numFmtId="164" fontId="3" fillId="2" borderId="1" pivotButton="0" quotePrefix="0" xfId="0"/>
    <xf numFmtId="0" fontId="0" fillId="2" borderId="1" pivotButton="0" quotePrefix="0" xfId="0"/>
    <xf numFmtId="164" fontId="3" fillId="0" borderId="0" pivotButton="0" quotePrefix="0" xfId="0"/>
    <xf numFmtId="167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24" customWidth="1" min="4" max="4"/>
    <col width="38" customWidth="1" min="5" max="5"/>
  </cols>
  <sheetData>
    <row r="1">
      <c r="A1" s="1" t="inlineStr">
        <is>
          <t>Q7 — Sustainable Cash Interest (Top-Down DSCR Approach)</t>
        </is>
      </c>
    </row>
    <row r="2">
      <c r="A2" s="2" t="inlineStr">
        <is>
          <t>Set sustainable interest based on industry-standard coverage ratios applied to OPI's cash flow.</t>
        </is>
      </c>
    </row>
    <row r="4">
      <c r="A4" s="3" t="inlineStr">
        <is>
          <t>STEP 1 — PRE-PETITION BASELINE</t>
        </is>
      </c>
    </row>
    <row r="5">
      <c r="A5" s="4" t="inlineStr">
        <is>
          <t>Total Funded Debt at Petition</t>
        </is>
      </c>
      <c r="B5" s="5" t="n">
        <v>2421.3</v>
      </c>
      <c r="C5" s="6" t="inlineStr">
        <is>
          <t>$M</t>
        </is>
      </c>
      <c r="D5" s="2" t="inlineStr">
        <is>
          <t>First-Day Decl ¶49</t>
        </is>
      </c>
    </row>
    <row r="6">
      <c r="A6" s="4" t="inlineStr">
        <is>
          <t>Pre-Petition Annual Cash Interest</t>
        </is>
      </c>
      <c r="B6" s="5" t="n">
        <v>162.5</v>
      </c>
      <c r="C6" s="6" t="inlineStr">
        <is>
          <t>$M</t>
        </is>
      </c>
      <c r="D6" s="2" t="inlineStr">
        <is>
          <t>Sum of all tranches × stated rates</t>
        </is>
      </c>
    </row>
    <row r="7">
      <c r="A7" s="4" t="inlineStr">
        <is>
          <t>TTM Cash NOI (3/31/25)</t>
        </is>
      </c>
      <c r="B7" s="5" t="n">
        <v>230.7</v>
      </c>
      <c r="C7" s="6" t="inlineStr">
        <is>
          <t>$M</t>
        </is>
      </c>
      <c r="D7" s="2" t="inlineStr">
        <is>
          <t>Cleansing Materials, p.10</t>
        </is>
      </c>
    </row>
    <row r="8">
      <c r="A8" s="4" t="inlineStr">
        <is>
          <t>Cash Interest as % of NOI</t>
        </is>
      </c>
      <c r="B8" s="7">
        <f>B6/B7</f>
        <v/>
      </c>
      <c r="C8" s="6" t="inlineStr">
        <is>
          <t>%</t>
        </is>
      </c>
      <c r="D8" s="2" t="inlineStr">
        <is>
          <t>Coverage broken before any capex</t>
        </is>
      </c>
    </row>
    <row r="9">
      <c r="A9" s="4" t="inlineStr">
        <is>
          <t>Total Debt / TTM NOI</t>
        </is>
      </c>
      <c r="B9" s="8">
        <f>B5/B7</f>
        <v/>
      </c>
      <c r="C9" s="6" t="inlineStr">
        <is>
          <t>x</t>
        </is>
      </c>
      <c r="D9" s="2" t="inlineStr">
        <is>
          <t>Insolvent on enterprise basis</t>
        </is>
      </c>
    </row>
    <row r="11">
      <c r="A11" s="3" t="inlineStr">
        <is>
          <t>STEP 2 — CASH FLOW AVAILABLE FOR DEBT SERVICE</t>
        </is>
      </c>
    </row>
    <row r="12">
      <c r="A12" s="4" t="inlineStr">
        <is>
          <t>2025E Cash NOI</t>
        </is>
      </c>
      <c r="B12" s="9" t="n">
        <v>216.4</v>
      </c>
      <c r="C12" s="6" t="inlineStr">
        <is>
          <t>$M</t>
        </is>
      </c>
      <c r="D12" s="2" t="inlineStr">
        <is>
          <t>Cleansing Materials projections</t>
        </is>
      </c>
    </row>
    <row r="13">
      <c r="A13" s="4" t="inlineStr">
        <is>
          <t>(-) Mandatory Capex (Building + Leasing TI)</t>
        </is>
      </c>
      <c r="B13" s="9" t="n">
        <v>-73</v>
      </c>
      <c r="C13" s="6" t="inlineStr">
        <is>
          <t>$M</t>
        </is>
      </c>
      <c r="D13" s="2" t="inlineStr">
        <is>
          <t>Maintenance + leasing capex</t>
        </is>
      </c>
    </row>
    <row r="14">
      <c r="A14" s="4" t="inlineStr">
        <is>
          <t>(-) G&amp;A</t>
        </is>
      </c>
      <c r="B14" s="9" t="n">
        <v>-17</v>
      </c>
      <c r="C14" s="6" t="inlineStr">
        <is>
          <t>$M</t>
        </is>
      </c>
      <c r="D14" s="2" t="inlineStr">
        <is>
          <t>RMR mgmt fees + corp overhead</t>
        </is>
      </c>
    </row>
    <row r="15">
      <c r="A15" s="4" t="inlineStr">
        <is>
          <t>Cash Flow Available for Debt Service</t>
        </is>
      </c>
      <c r="B15" s="10">
        <f>SUM(B12:B14)</f>
        <v/>
      </c>
      <c r="C15" s="6" t="inlineStr">
        <is>
          <t>$M</t>
        </is>
      </c>
      <c r="D15" s="2" t="inlineStr">
        <is>
          <t>What's left to service debt</t>
        </is>
      </c>
    </row>
    <row r="17">
      <c r="A17" s="3" t="inlineStr">
        <is>
          <t>STEP 3 — APPLY DSCR TARGET (Industry Benchmark for REITs ≈ 2.0x)</t>
        </is>
      </c>
    </row>
    <row r="18">
      <c r="A18" s="11" t="inlineStr">
        <is>
          <t>Coverage Methodology</t>
        </is>
      </c>
      <c r="B18" s="11" t="inlineStr">
        <is>
          <t>Cash Flow Input ($M)</t>
        </is>
      </c>
      <c r="C18" s="11" t="inlineStr">
        <is>
          <t>Target Coverage</t>
        </is>
      </c>
      <c r="D18" s="11" t="inlineStr">
        <is>
          <t>Implied Max Interest ($M)</t>
        </is>
      </c>
      <c r="E18" s="11" t="inlineStr">
        <is>
          <t>Commentary</t>
        </is>
      </c>
    </row>
    <row r="19">
      <c r="A19" s="12" t="inlineStr">
        <is>
          <t>NOI / Interest ≥ 2.0x</t>
        </is>
      </c>
      <c r="B19" s="13" t="n">
        <v>216.4</v>
      </c>
      <c r="C19" s="14" t="n">
        <v>2</v>
      </c>
      <c r="D19" s="15">
        <f>B19/C19</f>
        <v/>
      </c>
      <c r="E19" s="16" t="inlineStr">
        <is>
          <t>Strict industry benchmark</t>
        </is>
      </c>
    </row>
    <row r="20">
      <c r="A20" s="12" t="inlineStr">
        <is>
          <t>NOI / Interest ≥ 2.4x (premium)</t>
        </is>
      </c>
      <c r="B20" s="13" t="n">
        <v>216.4</v>
      </c>
      <c r="C20" s="14" t="n">
        <v>2.4</v>
      </c>
      <c r="D20" s="15">
        <f>B20/C20</f>
        <v/>
      </c>
      <c r="E20" s="16" t="inlineStr">
        <is>
          <t>Friend's view — comfortable cushion</t>
        </is>
      </c>
    </row>
    <row r="21">
      <c r="A21" s="12" t="inlineStr">
        <is>
          <t>(NOI - Capex) / Interest ≥ 2.0x</t>
        </is>
      </c>
      <c r="B21" s="13" t="n">
        <v>143.4</v>
      </c>
      <c r="C21" s="14" t="n">
        <v>2</v>
      </c>
      <c r="D21" s="15">
        <f>B21/C21</f>
        <v/>
      </c>
      <c r="E21" s="16" t="inlineStr">
        <is>
          <t>After mandatory capex</t>
        </is>
      </c>
    </row>
    <row r="22">
      <c r="A22" s="12" t="inlineStr">
        <is>
          <t>(NOI - Capex - G&amp;A) / Interest ≥ 1.5x</t>
        </is>
      </c>
      <c r="B22" s="13" t="n">
        <v>126.4</v>
      </c>
      <c r="C22" s="14" t="n">
        <v>1.5</v>
      </c>
      <c r="D22" s="15">
        <f>B22/C22</f>
        <v/>
      </c>
      <c r="E22" s="16" t="inlineStr">
        <is>
          <t>True FCF coverage, lower hurdle</t>
        </is>
      </c>
    </row>
    <row r="23">
      <c r="A23" s="12" t="inlineStr">
        <is>
          <t>Plan view (Projections 2027E)</t>
        </is>
      </c>
      <c r="B23" s="13" t="n">
        <v>175.8</v>
      </c>
      <c r="C23" s="14" t="n">
        <v>1.74</v>
      </c>
      <c r="D23" s="15">
        <f>B23/C23</f>
        <v/>
      </c>
      <c r="E23" s="16" t="inlineStr">
        <is>
          <t>What plan actually delivers</t>
        </is>
      </c>
    </row>
    <row r="26">
      <c r="A26" s="3" t="inlineStr">
        <is>
          <t>STEP 4 — SUSTAINABLE CASH INTEREST TARGET</t>
        </is>
      </c>
    </row>
    <row r="27">
      <c r="A27" s="4" t="inlineStr">
        <is>
          <t>Sustainable Cash Interest Range</t>
        </is>
      </c>
      <c r="B27" s="17" t="n">
        <v>85</v>
      </c>
      <c r="C27" s="6" t="inlineStr">
        <is>
          <t>–</t>
        </is>
      </c>
      <c r="D27" s="17" t="n">
        <v>100</v>
      </c>
    </row>
    <row r="28">
      <c r="A28" s="4" t="inlineStr">
        <is>
          <t>Implied Reduction vs. Pre-Petition</t>
        </is>
      </c>
      <c r="B28" s="7">
        <f>B27/B6-1</f>
        <v/>
      </c>
      <c r="D28" s="7">
        <f>D27/B6-1</f>
        <v/>
      </c>
    </row>
    <row r="29">
      <c r="A29" s="4" t="inlineStr">
        <is>
          <t>Implied NOI / Interest Coverage</t>
        </is>
      </c>
      <c r="B29" s="18">
        <f>B12/B27</f>
        <v/>
      </c>
      <c r="D29" s="18">
        <f>B12/D27</f>
        <v/>
      </c>
    </row>
    <row r="31">
      <c r="A31" s="19" t="inlineStr">
        <is>
          <t>CONCLUSION</t>
        </is>
      </c>
    </row>
    <row r="32" ht="60" customHeight="1">
      <c r="A32" s="20" t="inlineStr">
        <is>
          <t>Sustainable cash interest at emergence = $85M–$100M, a ~40% reduction from the $162M pre-petition. At $90M midpoint: NOI/Int = 2.4x (above 2.0x REIT benchmark); leaves $53M of cash flow after interest for capex, dispositions paydown, and equity cushion. Plan-implied $101M sits at the upper bound.</t>
        </is>
      </c>
    </row>
  </sheetData>
  <mergeCells count="8">
    <mergeCell ref="A4:E4"/>
    <mergeCell ref="A26:E26"/>
    <mergeCell ref="A2:E2"/>
    <mergeCell ref="A11:E11"/>
    <mergeCell ref="A1:E1"/>
    <mergeCell ref="A32:E32"/>
    <mergeCell ref="A31:E31"/>
    <mergeCell ref="A17:E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4" customWidth="1" min="3" max="3"/>
    <col width="22" customWidth="1" min="4" max="4"/>
    <col width="28" customWidth="1" min="5" max="5"/>
    <col width="32" customWidth="1" min="6" max="6"/>
  </cols>
  <sheetData>
    <row r="1">
      <c r="A1" s="1" t="inlineStr">
        <is>
          <t>Q7 — Plan-Implied Capital Structure (Bottom-Up Build)</t>
        </is>
      </c>
    </row>
    <row r="2">
      <c r="A2" s="2" t="inlineStr">
        <is>
          <t>Reconciles the actual RSA-prescribed capital structure to the projected ~$101M of 2027 cash interest.</t>
        </is>
      </c>
    </row>
    <row r="4">
      <c r="A4" s="3" t="inlineStr">
        <is>
          <t>INPUTS</t>
        </is>
      </c>
    </row>
    <row r="5">
      <c r="A5" s="4" t="inlineStr">
        <is>
          <t>SOFR</t>
        </is>
      </c>
      <c r="B5" s="21" t="n">
        <v>0.042</v>
      </c>
    </row>
    <row r="6">
      <c r="A6" s="4" t="inlineStr">
        <is>
          <t>Credit Facility Spread</t>
        </is>
      </c>
      <c r="B6" s="21" t="n">
        <v>0.035</v>
      </c>
    </row>
    <row r="7">
      <c r="A7" s="4" t="inlineStr">
        <is>
          <t>Disposition Paydown (Q4-26)</t>
        </is>
      </c>
      <c r="B7" s="22" t="n">
        <v>137</v>
      </c>
    </row>
    <row r="9">
      <c r="A9" s="3" t="inlineStr">
        <is>
          <t>POST-EMERGENCE CAPITAL STRUCTURE</t>
        </is>
      </c>
    </row>
    <row r="10">
      <c r="A10" s="11" t="inlineStr">
        <is>
          <t>Tranche</t>
        </is>
      </c>
      <c r="B10" s="11" t="inlineStr">
        <is>
          <t>Balance ($M)</t>
        </is>
      </c>
      <c r="C10" s="11" t="inlineStr">
        <is>
          <t>Rate</t>
        </is>
      </c>
      <c r="D10" s="11" t="inlineStr">
        <is>
          <t>Cash Interest ($M)</t>
        </is>
      </c>
      <c r="E10" s="11" t="inlineStr">
        <is>
          <t>Treatment</t>
        </is>
      </c>
      <c r="F10" s="11" t="inlineStr">
        <is>
          <t>Source</t>
        </is>
      </c>
    </row>
    <row r="11">
      <c r="A11" s="12" t="inlineStr">
        <is>
          <t>Mortgage Debt (Non-Debtor CMBS)</t>
        </is>
      </c>
      <c r="B11" s="23" t="n">
        <v>177.3</v>
      </c>
      <c r="C11" s="24" t="n">
        <v>0.0779</v>
      </c>
      <c r="D11" s="13">
        <f>B11*C11</f>
        <v/>
      </c>
      <c r="E11" s="12" t="inlineStr">
        <is>
          <t>Reinstated</t>
        </is>
      </c>
      <c r="F11" s="16" t="inlineStr">
        <is>
          <t>Decl ¶49</t>
        </is>
      </c>
    </row>
    <row r="12">
      <c r="A12" s="12" t="inlineStr">
        <is>
          <t>Credit Facility</t>
        </is>
      </c>
      <c r="B12" s="23" t="n">
        <v>425</v>
      </c>
      <c r="C12" s="24">
        <f>B5+B6</f>
        <v/>
      </c>
      <c r="D12" s="13">
        <f>B12*C12</f>
        <v/>
      </c>
      <c r="E12" s="12" t="inlineStr">
        <is>
          <t>Reinstated</t>
        </is>
      </c>
      <c r="F12" s="16" t="inlineStr">
        <is>
          <t>Decl ¶49 (S+350)</t>
        </is>
      </c>
    </row>
    <row r="13">
      <c r="A13" s="12" t="inlineStr">
        <is>
          <t>March 2029 Senior Secured Notes</t>
        </is>
      </c>
      <c r="B13" s="23" t="n">
        <v>300</v>
      </c>
      <c r="C13" s="24" t="n">
        <v>0.09</v>
      </c>
      <c r="D13" s="13">
        <f>B13*C13</f>
        <v/>
      </c>
      <c r="E13" s="12" t="inlineStr">
        <is>
          <t>Reinstated</t>
        </is>
      </c>
      <c r="F13" s="16" t="inlineStr">
        <is>
          <t>Decl ¶49</t>
        </is>
      </c>
    </row>
    <row r="14">
      <c r="A14" s="12" t="inlineStr">
        <is>
          <t>New Secured Exit Notes due 2031</t>
        </is>
      </c>
      <c r="B14" s="23">
        <f>420-B7</f>
        <v/>
      </c>
      <c r="C14" s="24" t="n">
        <v>0.1</v>
      </c>
      <c r="D14" s="13">
        <f>B14*C14</f>
        <v/>
      </c>
      <c r="E14" s="12" t="inlineStr">
        <is>
          <t>Replaces Sept 2029 Notes</t>
        </is>
      </c>
      <c r="F14" s="16" t="inlineStr">
        <is>
          <t>RSA Term Sheet ¶109 (10% cash)</t>
        </is>
      </c>
    </row>
    <row r="15">
      <c r="A15" s="25" t="inlineStr">
        <is>
          <t>Total Funded Debt at Emergence</t>
        </is>
      </c>
      <c r="B15" s="26">
        <f>SUM(B11:B14)</f>
        <v/>
      </c>
      <c r="C15" s="27">
        <f>D15/B15</f>
        <v/>
      </c>
      <c r="D15" s="28">
        <f>SUM(D11:D14)</f>
        <v/>
      </c>
      <c r="E15" s="29" t="n"/>
      <c r="F15" s="29" t="n"/>
    </row>
    <row r="17">
      <c r="A17" s="3" t="inlineStr">
        <is>
          <t>TIE-OUT TO PROJECTIONS</t>
        </is>
      </c>
    </row>
    <row r="18">
      <c r="A18" s="4" t="inlineStr">
        <is>
          <t>Model Output (Cash Interest)</t>
        </is>
      </c>
      <c r="B18" s="30">
        <f>D15</f>
        <v/>
      </c>
    </row>
    <row r="19">
      <c r="A19" s="4" t="inlineStr">
        <is>
          <t>Disclosure Statement Projections (2027 Interest)</t>
        </is>
      </c>
      <c r="B19" s="5" t="n">
        <v>101.2</v>
      </c>
    </row>
    <row r="20">
      <c r="A20" s="4" t="inlineStr">
        <is>
          <t>Variance</t>
        </is>
      </c>
      <c r="B20" s="31">
        <f>B18-B19</f>
        <v/>
      </c>
      <c r="C20" s="2" t="inlineStr">
        <is>
          <t>Reconciles within ~$1M ✓</t>
        </is>
      </c>
    </row>
    <row r="22">
      <c r="A22" s="3" t="inlineStr">
        <is>
          <t>SUSTAINABILITY CHECK</t>
        </is>
      </c>
    </row>
    <row r="23">
      <c r="A23" s="4" t="inlineStr">
        <is>
          <t>Projected 2027 NOI</t>
        </is>
      </c>
      <c r="B23" s="5" t="n">
        <v>175.8</v>
      </c>
      <c r="C23" s="6" t="inlineStr">
        <is>
          <t>$M</t>
        </is>
      </c>
      <c r="D23" s="2" t="inlineStr">
        <is>
          <t>Disc Stmt Ex B</t>
        </is>
      </c>
    </row>
    <row r="24">
      <c r="A24" s="4" t="inlineStr">
        <is>
          <t>2027E EBITDA (NOI - G&amp;A)</t>
        </is>
      </c>
      <c r="B24" s="5" t="n">
        <v>158.8</v>
      </c>
      <c r="C24" s="6" t="inlineStr">
        <is>
          <t>$M</t>
        </is>
      </c>
      <c r="D24" s="2" t="inlineStr">
        <is>
          <t>Disc Stmt Ex B</t>
        </is>
      </c>
    </row>
    <row r="25">
      <c r="A25" s="4" t="inlineStr">
        <is>
          <t>Cash Interest</t>
        </is>
      </c>
      <c r="B25" s="30">
        <f>D15</f>
        <v/>
      </c>
      <c r="C25" s="6" t="inlineStr">
        <is>
          <t>$M</t>
        </is>
      </c>
      <c r="D25" s="2" t="inlineStr">
        <is>
          <t>From above</t>
        </is>
      </c>
    </row>
    <row r="26">
      <c r="A26" s="4" t="inlineStr">
        <is>
          <t>NOI / Interest Coverage</t>
        </is>
      </c>
      <c r="B26" s="8">
        <f>B23/B25</f>
        <v/>
      </c>
      <c r="C26" s="6" t="inlineStr">
        <is>
          <t>x</t>
        </is>
      </c>
      <c r="D26" s="2" t="inlineStr">
        <is>
          <t>Plan delivers 1.74x</t>
        </is>
      </c>
    </row>
    <row r="27">
      <c r="A27" s="4" t="inlineStr">
        <is>
          <t>EBITDA / Interest Coverage</t>
        </is>
      </c>
      <c r="B27" s="8">
        <f>B24/B25</f>
        <v/>
      </c>
      <c r="C27" s="6" t="inlineStr">
        <is>
          <t>x</t>
        </is>
      </c>
      <c r="D27" s="2" t="inlineStr"/>
    </row>
    <row r="28">
      <c r="A28" s="4" t="inlineStr">
        <is>
          <t>Implied Total Leverage (Debt / EBITDA)</t>
        </is>
      </c>
      <c r="B28" s="8">
        <f>B15/B24</f>
        <v/>
      </c>
      <c r="C28" s="6" t="inlineStr">
        <is>
          <t>x</t>
        </is>
      </c>
      <c r="D28" s="2" t="inlineStr">
        <is>
          <t>7.5x — high for office REIT</t>
        </is>
      </c>
    </row>
    <row r="29">
      <c r="A29" s="4" t="inlineStr">
        <is>
          <t>Reduction from Pre-Petition Interest ($162M)</t>
        </is>
      </c>
      <c r="B29" s="7">
        <f>1-B25/162.5</f>
        <v/>
      </c>
      <c r="C29" s="6" t="inlineStr">
        <is>
          <t>%</t>
        </is>
      </c>
      <c r="D29" s="2" t="inlineStr">
        <is>
          <t>~38% reduction</t>
        </is>
      </c>
    </row>
  </sheetData>
  <mergeCells count="6">
    <mergeCell ref="A2:F2"/>
    <mergeCell ref="A1:F1"/>
    <mergeCell ref="A9:F9"/>
    <mergeCell ref="A22:F22"/>
    <mergeCell ref="A17:F17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2026-05-05T05:54:25Z</dcterms:created>
  <dcterms:modified xsi:type="dcterms:W3CDTF">2026-05-05T05:54:25Z</dcterms:modified>
</cp:coreProperties>
</file>