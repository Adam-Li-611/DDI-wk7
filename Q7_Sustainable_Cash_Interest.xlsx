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tainable Cash Interest" sheetId="1" state="visible" r:id="rId1"/>
    <sheet name="Petition-Date Inter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x&quot;"/>
    <numFmt numFmtId="165" formatCode="#,##0.0"/>
    <numFmt numFmtId="166" formatCode="0.000%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7B1113"/>
      <sz val="14"/>
    </font>
    <font>
      <i val="1"/>
      <color rgb="00595959"/>
      <sz val="9"/>
    </font>
    <font>
      <b val="1"/>
      <sz val="11"/>
    </font>
    <font>
      <color rgb="000070C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7B111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0" fontId="4" fillId="0" borderId="0" pivotButton="0" quotePrefix="0" xfId="0"/>
    <xf numFmtId="3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3" fontId="3" fillId="2" borderId="1" pivotButton="0" quotePrefix="0" xfId="0"/>
    <xf numFmtId="10" fontId="3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3" fontId="3" fillId="0" borderId="1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1" pivotButton="0" quotePrefix="0" xfId="0"/>
    <xf numFmtId="166" fontId="0" fillId="0" borderId="1" pivotButton="0" quotePrefix="0" xfId="0"/>
    <xf numFmtId="165" fontId="4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20" customWidth="1" min="4" max="4"/>
    <col width="30" customWidth="1" min="5" max="5"/>
    <col width="28" customWidth="1" min="6" max="6"/>
  </cols>
  <sheetData>
    <row r="1">
      <c r="A1" s="1" t="inlineStr">
        <is>
          <t>Q7 — Sustainable Cash Interest at Emergence</t>
        </is>
      </c>
    </row>
    <row r="2">
      <c r="A2" s="2" t="inlineStr">
        <is>
          <t>Pro forma capital structure per Disclosure Statement Exhibit B (Projections); rates per First-Day Declaration ¶49.</t>
        </is>
      </c>
    </row>
    <row r="4">
      <c r="A4" s="3" t="inlineStr">
        <is>
          <t>ASSUMPTIONS (blue = input)</t>
        </is>
      </c>
    </row>
    <row r="5">
      <c r="A5" t="inlineStr">
        <is>
          <t>SOFR Rate</t>
        </is>
      </c>
      <c r="B5" s="4" t="n">
        <v>0.042</v>
      </c>
      <c r="C5" s="2" t="inlineStr">
        <is>
          <t>30-day avg as of petition date</t>
        </is>
      </c>
    </row>
    <row r="6">
      <c r="A6" t="inlineStr">
        <is>
          <t>Credit Facility Spread</t>
        </is>
      </c>
      <c r="B6" s="4" t="n">
        <v>0.035</v>
      </c>
      <c r="C6" s="2" t="inlineStr">
        <is>
          <t>S+350 bps per Credit Agreement</t>
        </is>
      </c>
    </row>
    <row r="7">
      <c r="A7" t="inlineStr">
        <is>
          <t>Disposition Paydown (Q4-26)</t>
        </is>
      </c>
      <c r="B7" s="5" t="n">
        <v>137</v>
      </c>
      <c r="C7" s="2" t="inlineStr">
        <is>
          <t>$M; applied to Secured Exit Notes</t>
        </is>
      </c>
    </row>
    <row r="9">
      <c r="A9" s="3" t="inlineStr">
        <is>
          <t>POST-EMERGENCE CAPITAL STRUCTURE</t>
        </is>
      </c>
    </row>
    <row r="10">
      <c r="A10" s="6" t="inlineStr">
        <is>
          <t>Tranche</t>
        </is>
      </c>
      <c r="B10" s="6" t="inlineStr">
        <is>
          <t>Balance ($M)</t>
        </is>
      </c>
      <c r="C10" s="6" t="inlineStr">
        <is>
          <t>Rate</t>
        </is>
      </c>
      <c r="D10" s="6" t="inlineStr">
        <is>
          <t>Cash Interest ($M)</t>
        </is>
      </c>
      <c r="E10" s="6" t="inlineStr">
        <is>
          <t>Treatment</t>
        </is>
      </c>
      <c r="F10" s="6" t="inlineStr">
        <is>
          <t>Source</t>
        </is>
      </c>
    </row>
    <row r="11">
      <c r="A11" s="7" t="inlineStr">
        <is>
          <t>Mortgage Debt (Non-Debtor CMBS)</t>
        </is>
      </c>
      <c r="B11" s="8" t="n">
        <v>177.3</v>
      </c>
      <c r="C11" s="9" t="n">
        <v>0.0779</v>
      </c>
      <c r="D11" s="8">
        <f>B11*C11</f>
        <v/>
      </c>
      <c r="E11" s="7" t="inlineStr">
        <is>
          <t>Reinstated</t>
        </is>
      </c>
      <c r="F11" s="10" t="inlineStr">
        <is>
          <t>Decl ¶49</t>
        </is>
      </c>
    </row>
    <row r="12">
      <c r="A12" s="7" t="inlineStr">
        <is>
          <t>Credit Facility</t>
        </is>
      </c>
      <c r="B12" s="8" t="n">
        <v>425</v>
      </c>
      <c r="C12" s="9">
        <f>B5+B6</f>
        <v/>
      </c>
      <c r="D12" s="8">
        <f>B12*C12</f>
        <v/>
      </c>
      <c r="E12" s="7" t="inlineStr">
        <is>
          <t>Reinstated</t>
        </is>
      </c>
      <c r="F12" s="10" t="inlineStr">
        <is>
          <t>Decl ¶49 (S+350)</t>
        </is>
      </c>
    </row>
    <row r="13">
      <c r="A13" s="7" t="inlineStr">
        <is>
          <t>March 2029 Senior Secured Notes</t>
        </is>
      </c>
      <c r="B13" s="8" t="n">
        <v>300</v>
      </c>
      <c r="C13" s="9" t="n">
        <v>0.09</v>
      </c>
      <c r="D13" s="8">
        <f>B13*C13</f>
        <v/>
      </c>
      <c r="E13" s="7" t="inlineStr">
        <is>
          <t>Reinstated</t>
        </is>
      </c>
      <c r="F13" s="10" t="inlineStr">
        <is>
          <t>Decl ¶49</t>
        </is>
      </c>
    </row>
    <row r="14">
      <c r="A14" s="7" t="inlineStr">
        <is>
          <t>New Secured Exit Notes due 2031</t>
        </is>
      </c>
      <c r="B14" s="8">
        <f>420-B7</f>
        <v/>
      </c>
      <c r="C14" s="9" t="n">
        <v>0.1</v>
      </c>
      <c r="D14" s="8">
        <f>B14*C14</f>
        <v/>
      </c>
      <c r="E14" s="7" t="inlineStr">
        <is>
          <t>Replaces Sept 2029 Notes</t>
        </is>
      </c>
      <c r="F14" s="10" t="inlineStr">
        <is>
          <t>RSA Term Sheet ¶109 (10% cash)</t>
        </is>
      </c>
    </row>
    <row r="15">
      <c r="A15" s="11" t="inlineStr">
        <is>
          <t>Total Funded Debt at Emergence</t>
        </is>
      </c>
      <c r="B15" s="12">
        <f>SUM(B11:B14)</f>
        <v/>
      </c>
      <c r="C15" s="13">
        <f>D15/B15</f>
        <v/>
      </c>
      <c r="D15" s="12">
        <f>SUM(D11:D14)</f>
        <v/>
      </c>
      <c r="E15" s="14" t="n"/>
      <c r="F15" s="14" t="n"/>
    </row>
    <row r="17">
      <c r="A17" s="3" t="inlineStr">
        <is>
          <t>COVERAGE &amp; LEVERAGE RATIOS</t>
        </is>
      </c>
    </row>
    <row r="18">
      <c r="A18" s="15" t="inlineStr">
        <is>
          <t>2027E NOI (Cash Basis)</t>
        </is>
      </c>
      <c r="B18" s="5" t="n">
        <v>175.8</v>
      </c>
      <c r="C18" s="2" t="inlineStr">
        <is>
          <t>Disc Stmt Ex B (p.6)</t>
        </is>
      </c>
    </row>
    <row r="19">
      <c r="A19" s="15" t="inlineStr">
        <is>
          <t>2027E G&amp;A</t>
        </is>
      </c>
      <c r="B19" s="5" t="n">
        <v>17</v>
      </c>
    </row>
    <row r="20">
      <c r="A20" s="15" t="inlineStr">
        <is>
          <t>2027E EBITDA (NOI - G&amp;A)</t>
        </is>
      </c>
      <c r="B20" s="16">
        <f>B18-B19</f>
        <v/>
      </c>
    </row>
    <row r="21">
      <c r="A21" s="15" t="inlineStr">
        <is>
          <t>2027E Total Capex</t>
        </is>
      </c>
      <c r="B21" s="5" t="n">
        <v>65.5</v>
      </c>
    </row>
    <row r="23">
      <c r="A23" s="15" t="inlineStr">
        <is>
          <t>NOI / Cash Interest</t>
        </is>
      </c>
      <c r="B23" s="17">
        <f>B18/D15</f>
        <v/>
      </c>
      <c r="C23" s="2" t="inlineStr">
        <is>
          <t>Healthy office REIT: &gt;2.0x</t>
        </is>
      </c>
    </row>
    <row r="24">
      <c r="A24" s="15" t="inlineStr">
        <is>
          <t>EBITDA / Cash Interest</t>
        </is>
      </c>
      <c r="B24" s="17">
        <f>B20/D15</f>
        <v/>
      </c>
    </row>
    <row r="25">
      <c r="A25" s="15" t="inlineStr">
        <is>
          <t>(EBITDA - Capex) / Cash Interest</t>
        </is>
      </c>
      <c r="B25" s="17">
        <f>(B20-B21)/D15</f>
        <v/>
      </c>
      <c r="C25" s="2" t="inlineStr">
        <is>
          <t>Stress view (after maintenance &amp; leasing capex)</t>
        </is>
      </c>
    </row>
    <row r="26">
      <c r="A26" s="15" t="inlineStr">
        <is>
          <t>Total Debt / EBITDA</t>
        </is>
      </c>
      <c r="B26" s="17">
        <f>B15/B20</f>
        <v/>
      </c>
    </row>
    <row r="28">
      <c r="A28" s="3" t="inlineStr">
        <is>
          <t>TRIANGULATION — WHAT IS SUSTAINABLE?</t>
        </is>
      </c>
    </row>
    <row r="29">
      <c r="A29" s="6" t="inlineStr">
        <is>
          <t>View</t>
        </is>
      </c>
      <c r="B29" s="6" t="inlineStr">
        <is>
          <t>Methodology</t>
        </is>
      </c>
      <c r="C29" s="6" t="inlineStr">
        <is>
          <t>Sustainable Cash Interest ($M)</t>
        </is>
      </c>
    </row>
    <row r="30">
      <c r="A30" s="7" t="inlineStr">
        <is>
          <t>Plan view</t>
        </is>
      </c>
      <c r="B30" s="7" t="inlineStr">
        <is>
          <t>Plan-implied capital structure × stated rates</t>
        </is>
      </c>
      <c r="C30" s="18">
        <f>D15</f>
        <v/>
      </c>
    </row>
    <row r="31">
      <c r="A31" s="7" t="inlineStr">
        <is>
          <t>Coverage stress (2.0x NOI/Int)</t>
        </is>
      </c>
      <c r="B31" s="7" t="inlineStr">
        <is>
          <t>2027E NOI / 2.0x</t>
        </is>
      </c>
      <c r="C31" s="8">
        <f>B18/2</f>
        <v/>
      </c>
    </row>
    <row r="32">
      <c r="A32" s="7" t="inlineStr">
        <is>
          <t>Coverage stress (2.0x EBITDA/Int)</t>
        </is>
      </c>
      <c r="B32" s="7" t="inlineStr">
        <is>
          <t>2027E EBITDA / 2.0x</t>
        </is>
      </c>
      <c r="C32" s="8">
        <f>B20/2</f>
        <v/>
      </c>
    </row>
    <row r="33">
      <c r="A33" s="7" t="inlineStr">
        <is>
          <t>Coverage stress (post-capex 1.5x)</t>
        </is>
      </c>
      <c r="B33" s="7" t="inlineStr">
        <is>
          <t>(EBITDA - Capex) / 1.5x</t>
        </is>
      </c>
      <c r="C33" s="8">
        <f>(B20-B21)/1.5</f>
        <v/>
      </c>
    </row>
    <row r="35">
      <c r="A35" s="19" t="inlineStr">
        <is>
          <t>CONCLUSION</t>
        </is>
      </c>
    </row>
    <row r="36" ht="45" customHeight="1">
      <c r="A36" s="20" t="inlineStr">
        <is>
          <t>Plan-implied sustainable cash interest ≈ $100M/yr — at the UPPER bound of the triangulation range. Workable (1.6x DSCR, positive levered FCF in 4 of 5 years) but no cushion; equity holders bear the risk.</t>
        </is>
      </c>
    </row>
  </sheetData>
  <mergeCells count="8">
    <mergeCell ref="A2:F2"/>
    <mergeCell ref="A28:F28"/>
    <mergeCell ref="A36:F36"/>
    <mergeCell ref="A1:F1"/>
    <mergeCell ref="A9:F9"/>
    <mergeCell ref="A17:F17"/>
    <mergeCell ref="A35:F3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32" customWidth="1" min="5" max="5"/>
  </cols>
  <sheetData>
    <row r="1">
      <c r="A1" s="1" t="inlineStr">
        <is>
          <t>Petition-Date Cash Interest (for comparison)</t>
        </is>
      </c>
    </row>
    <row r="2">
      <c r="A2" s="2" t="inlineStr">
        <is>
          <t>Shows why Ch11 was unavoidable: ~70% of NOI was consumed by interest before capex.</t>
        </is>
      </c>
    </row>
    <row r="4">
      <c r="A4" t="inlineStr">
        <is>
          <t>SOFR</t>
        </is>
      </c>
      <c r="B4" s="4" t="n">
        <v>0.042</v>
      </c>
    </row>
    <row r="6">
      <c r="A6" s="6" t="inlineStr">
        <is>
          <t>Tranche</t>
        </is>
      </c>
      <c r="B6" s="6" t="inlineStr">
        <is>
          <t>Balance ($M)</t>
        </is>
      </c>
      <c r="C6" s="6" t="inlineStr">
        <is>
          <t>Rate</t>
        </is>
      </c>
      <c r="D6" s="6" t="inlineStr">
        <is>
          <t>Cash Interest ($M)</t>
        </is>
      </c>
      <c r="E6" s="6" t="inlineStr">
        <is>
          <t>Notes</t>
        </is>
      </c>
    </row>
    <row r="7">
      <c r="A7" s="7" t="inlineStr">
        <is>
          <t>Non-Debtor Mortgages</t>
        </is>
      </c>
      <c r="B7" s="21" t="n">
        <v>177.3</v>
      </c>
      <c r="C7" s="22" t="n">
        <v>0.0779</v>
      </c>
      <c r="D7" s="21">
        <f>B7*C7</f>
        <v/>
      </c>
      <c r="E7" s="10" t="inlineStr">
        <is>
          <t>Non-recourse CMBS</t>
        </is>
      </c>
    </row>
    <row r="8">
      <c r="A8" s="7" t="inlineStr">
        <is>
          <t>Credit Facility</t>
        </is>
      </c>
      <c r="B8" s="21" t="n">
        <v>425</v>
      </c>
      <c r="C8" s="22">
        <f>B4+0.035</f>
        <v/>
      </c>
      <c r="D8" s="21">
        <f>B8*C8</f>
        <v/>
      </c>
      <c r="E8" s="10" t="inlineStr">
        <is>
          <t>S+350</t>
        </is>
      </c>
    </row>
    <row r="9">
      <c r="A9" s="7" t="inlineStr">
        <is>
          <t>March 2029 Notes</t>
        </is>
      </c>
      <c r="B9" s="21" t="n">
        <v>300</v>
      </c>
      <c r="C9" s="22" t="n">
        <v>0.09</v>
      </c>
      <c r="D9" s="21">
        <f>B9*C9</f>
        <v/>
      </c>
      <c r="E9" s="10" t="inlineStr">
        <is>
          <t>Secured</t>
        </is>
      </c>
    </row>
    <row r="10">
      <c r="A10" s="7" t="inlineStr">
        <is>
          <t>September 2029 Notes</t>
        </is>
      </c>
      <c r="B10" s="21" t="n">
        <v>610</v>
      </c>
      <c r="C10" s="22" t="n">
        <v>0.09</v>
      </c>
      <c r="D10" s="21">
        <f>B10*C10</f>
        <v/>
      </c>
      <c r="E10" s="10" t="inlineStr">
        <is>
          <t>Secured</t>
        </is>
      </c>
    </row>
    <row r="11">
      <c r="A11" s="7" t="inlineStr">
        <is>
          <t>March 2027 Notes</t>
        </is>
      </c>
      <c r="B11" s="21" t="n">
        <v>418</v>
      </c>
      <c r="C11" s="22" t="n">
        <v>0.0325</v>
      </c>
      <c r="D11" s="21">
        <f>B11*C11</f>
        <v/>
      </c>
      <c r="E11" s="10" t="inlineStr">
        <is>
          <t>Secured</t>
        </is>
      </c>
    </row>
    <row r="12">
      <c r="A12" s="7" t="inlineStr">
        <is>
          <t>Priority Guaranteed Notes</t>
        </is>
      </c>
      <c r="B12" s="21" t="n">
        <v>14.4</v>
      </c>
      <c r="C12" s="22" t="n">
        <v>0.08</v>
      </c>
      <c r="D12" s="21">
        <f>B12*C12</f>
        <v/>
      </c>
      <c r="E12" s="10" t="inlineStr">
        <is>
          <t>Unsecured guaranteed</t>
        </is>
      </c>
    </row>
    <row r="13">
      <c r="A13" s="7" t="inlineStr">
        <is>
          <t>Senior Notes due 2026</t>
        </is>
      </c>
      <c r="B13" s="21" t="n">
        <v>133.9</v>
      </c>
      <c r="C13" s="22" t="n">
        <v>0.0265</v>
      </c>
      <c r="D13" s="21">
        <f>B13*C13</f>
        <v/>
      </c>
      <c r="E13" s="10" t="inlineStr">
        <is>
          <t>Structurally subordinated</t>
        </is>
      </c>
    </row>
    <row r="14">
      <c r="A14" s="7" t="inlineStr">
        <is>
          <t>Senior Notes due 2027</t>
        </is>
      </c>
      <c r="B14" s="21" t="n">
        <v>78.3</v>
      </c>
      <c r="C14" s="22" t="n">
        <v>0.024</v>
      </c>
      <c r="D14" s="21">
        <f>B14*C14</f>
        <v/>
      </c>
      <c r="E14" s="10" t="inlineStr">
        <is>
          <t>Structurally subordinated</t>
        </is>
      </c>
    </row>
    <row r="15">
      <c r="A15" s="7" t="inlineStr">
        <is>
          <t>Senior Notes due 2031</t>
        </is>
      </c>
      <c r="B15" s="21" t="n">
        <v>102.4</v>
      </c>
      <c r="C15" s="22" t="n">
        <v>0.0345</v>
      </c>
      <c r="D15" s="21">
        <f>B15*C15</f>
        <v/>
      </c>
      <c r="E15" s="10" t="inlineStr">
        <is>
          <t>Structurally subordinated</t>
        </is>
      </c>
    </row>
    <row r="16">
      <c r="A16" s="7" t="inlineStr">
        <is>
          <t>Senior Notes due 2050</t>
        </is>
      </c>
      <c r="B16" s="21" t="n">
        <v>162</v>
      </c>
      <c r="C16" s="22" t="n">
        <v>0.06375</v>
      </c>
      <c r="D16" s="21">
        <f>B16*C16</f>
        <v/>
      </c>
      <c r="E16" s="10" t="inlineStr">
        <is>
          <t>Structurally subordinated</t>
        </is>
      </c>
    </row>
    <row r="17">
      <c r="A17" s="11" t="inlineStr">
        <is>
          <t>Total Funded Debt</t>
        </is>
      </c>
      <c r="B17" s="12">
        <f>SUM(B7:B16)</f>
        <v/>
      </c>
      <c r="C17" s="13">
        <f>D17/B17</f>
        <v/>
      </c>
      <c r="D17" s="12">
        <f>SUM(D7:D16)</f>
        <v/>
      </c>
      <c r="E17" s="14" t="n"/>
    </row>
    <row r="19">
      <c r="A19" s="3" t="inlineStr">
        <is>
          <t>COMPARISON TO NOI</t>
        </is>
      </c>
    </row>
    <row r="20">
      <c r="A20" s="15" t="inlineStr">
        <is>
          <t>TTM Cash NOI (3/31/25)</t>
        </is>
      </c>
      <c r="B20" s="23" t="n">
        <v>230.7</v>
      </c>
    </row>
    <row r="21">
      <c r="A21" s="15" t="inlineStr">
        <is>
          <t>Cash Interest / NOI</t>
        </is>
      </c>
      <c r="B21" s="24">
        <f>D17/B20</f>
        <v/>
      </c>
    </row>
    <row r="22">
      <c r="A22" s="15" t="inlineStr">
        <is>
          <t>NOI / Cash Interest</t>
        </is>
      </c>
      <c r="B22" s="17">
        <f>B20/D17</f>
        <v/>
      </c>
    </row>
    <row r="23">
      <c r="A23" s="15" t="inlineStr">
        <is>
          <t>Total Debt / TTM NOI</t>
        </is>
      </c>
      <c r="B23" s="17">
        <f>B17/B20</f>
        <v/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2026-05-05T05:36:05Z</dcterms:created>
  <dcterms:modified xsi:type="dcterms:W3CDTF">2026-05-05T05:52:11Z</dcterms:modified>
</cp:coreProperties>
</file>